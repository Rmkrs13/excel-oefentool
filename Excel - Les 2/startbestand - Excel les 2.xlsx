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Windows\Excel - Les 2\"/>
    </mc:Choice>
  </mc:AlternateContent>
  <xr:revisionPtr revIDLastSave="0" documentId="13_ncr:1_{ED22B7BC-985A-4B5E-B8A8-1E58C0527D19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semester1" sheetId="1" r:id="rId1"/>
    <sheet name="semester2" sheetId="6" r:id="rId2"/>
    <sheet name="totaal" sheetId="7" r:id="rId3"/>
    <sheet name="Blad4" sheetId="8" r:id="rId4"/>
    <sheet name="Blad2" sheetId="2" r:id="rId5"/>
    <sheet name="filter1" sheetId="4" r:id="rId6"/>
    <sheet name="filter2" sheetId="5" r:id="rId7"/>
  </sheets>
  <externalReferences>
    <externalReference r:id="rId8"/>
  </externalReferences>
  <definedNames>
    <definedName name="_xlnm._FilterDatabase" localSheetId="5" hidden="1">filter1!$A$1:$H$20</definedName>
    <definedName name="graad">[1]graad!$C$2:$D$5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I7" i="7"/>
  <c r="I8" i="7"/>
  <c r="I9" i="7"/>
  <c r="I10" i="7"/>
  <c r="I11" i="7"/>
  <c r="I12" i="7"/>
  <c r="I13" i="7"/>
  <c r="I14" i="7"/>
  <c r="I15" i="7"/>
  <c r="I16" i="7"/>
  <c r="I17" i="7"/>
  <c r="I18" i="7"/>
  <c r="I5" i="7"/>
  <c r="D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D12" i="7"/>
  <c r="E12" i="7"/>
  <c r="F12" i="7"/>
  <c r="D13" i="7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E5" i="7"/>
  <c r="F5" i="7"/>
  <c r="C21" i="7"/>
  <c r="F20" i="7"/>
  <c r="E20" i="7"/>
  <c r="D20" i="7"/>
  <c r="F19" i="7"/>
  <c r="E19" i="7"/>
  <c r="D19" i="7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5" i="6"/>
  <c r="C23" i="6"/>
  <c r="C22" i="6"/>
  <c r="C21" i="6"/>
  <c r="F20" i="6"/>
  <c r="E20" i="6"/>
  <c r="D20" i="6"/>
  <c r="F19" i="6"/>
  <c r="E19" i="6"/>
  <c r="D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23" i="1"/>
  <c r="C22" i="1"/>
  <c r="C21" i="1"/>
  <c r="E20" i="1"/>
  <c r="F20" i="1"/>
  <c r="D20" i="1"/>
  <c r="E19" i="1"/>
  <c r="F19" i="1"/>
  <c r="D1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20" i="1" s="1"/>
  <c r="C23" i="7" l="1"/>
  <c r="C22" i="7"/>
  <c r="G5" i="7"/>
  <c r="H12" i="7"/>
  <c r="G20" i="6"/>
  <c r="G19" i="6"/>
  <c r="G19" i="1"/>
  <c r="H5" i="7" l="1"/>
  <c r="G19" i="7"/>
  <c r="G20" i="7"/>
</calcChain>
</file>

<file path=xl/sharedStrings.xml><?xml version="1.0" encoding="utf-8"?>
<sst xmlns="http://schemas.openxmlformats.org/spreadsheetml/2006/main" count="528" uniqueCount="329">
  <si>
    <t>Naam</t>
  </si>
  <si>
    <t>Voornaam</t>
  </si>
  <si>
    <t xml:space="preserve">Maers </t>
  </si>
  <si>
    <t>Jasper</t>
  </si>
  <si>
    <t>Jansen</t>
  </si>
  <si>
    <t>Kobe</t>
  </si>
  <si>
    <t>Deman</t>
  </si>
  <si>
    <t>Laurens</t>
  </si>
  <si>
    <t>Dils</t>
  </si>
  <si>
    <t>Katrien</t>
  </si>
  <si>
    <t>Fransen</t>
  </si>
  <si>
    <t>Oliver</t>
  </si>
  <si>
    <t>Alvarez</t>
  </si>
  <si>
    <t>Joery</t>
  </si>
  <si>
    <t>Kenis</t>
  </si>
  <si>
    <t>Ward</t>
  </si>
  <si>
    <t>Kanps</t>
  </si>
  <si>
    <t>Jorien</t>
  </si>
  <si>
    <t>Vandevelde</t>
  </si>
  <si>
    <t>Carolien</t>
  </si>
  <si>
    <t>Vekemans</t>
  </si>
  <si>
    <t>Thomas</t>
  </si>
  <si>
    <t>Kop</t>
  </si>
  <si>
    <t>Dimi</t>
  </si>
  <si>
    <t>Coppens</t>
  </si>
  <si>
    <t>Karen</t>
  </si>
  <si>
    <t>Wilmsen</t>
  </si>
  <si>
    <t>Kevin</t>
  </si>
  <si>
    <t>Bruyneels</t>
  </si>
  <si>
    <t>Yannick</t>
  </si>
  <si>
    <t>klas:</t>
  </si>
  <si>
    <t>1 Balo</t>
  </si>
  <si>
    <t>Periode:</t>
  </si>
  <si>
    <t>Nr</t>
  </si>
  <si>
    <t>Totaal</t>
  </si>
  <si>
    <t>Frans</t>
  </si>
  <si>
    <t>Wiskunde</t>
  </si>
  <si>
    <t>Nederlands</t>
  </si>
  <si>
    <t>gemiddelde</t>
  </si>
  <si>
    <t>mediaan</t>
  </si>
  <si>
    <t>aantal studenten:</t>
  </si>
  <si>
    <t>slechtste resultaat:</t>
  </si>
  <si>
    <t>beste resultaat:</t>
  </si>
  <si>
    <t>Bruynseels</t>
  </si>
  <si>
    <t>Kltnr</t>
  </si>
  <si>
    <t>Klantnaam</t>
  </si>
  <si>
    <t>Straat</t>
  </si>
  <si>
    <t>Postcode</t>
  </si>
  <si>
    <t>Woonplaats</t>
  </si>
  <si>
    <t>Telefoonnummer</t>
  </si>
  <si>
    <t>Faxnummer</t>
  </si>
  <si>
    <t>Aard</t>
  </si>
  <si>
    <t>Cuypers Anny</t>
  </si>
  <si>
    <t>Rauwelkoven 151</t>
  </si>
  <si>
    <t>GEEL</t>
  </si>
  <si>
    <t>(014)59 00 84</t>
  </si>
  <si>
    <t>De Brabander Jean</t>
  </si>
  <si>
    <t>Markt 5</t>
  </si>
  <si>
    <t>De Prater Jules</t>
  </si>
  <si>
    <t>Kievit 3</t>
  </si>
  <si>
    <t>MOL</t>
  </si>
  <si>
    <t>De Vries Anna</t>
  </si>
  <si>
    <t>Vreesstraat 2</t>
  </si>
  <si>
    <t>De Waele Erna</t>
  </si>
  <si>
    <t>Locomotiefstraat</t>
  </si>
  <si>
    <t>(014)12 13 14</t>
  </si>
  <si>
    <t>(014)12 14 15</t>
  </si>
  <si>
    <t>Dils Lieve</t>
  </si>
  <si>
    <t>Grote Meur 48</t>
  </si>
  <si>
    <t>LANGDORP</t>
  </si>
  <si>
    <t>(016)56 11 61</t>
  </si>
  <si>
    <t>Geeraerts Christa</t>
  </si>
  <si>
    <t>Kleine Weg 8</t>
  </si>
  <si>
    <t>BERINGEN</t>
  </si>
  <si>
    <t>(011)53 38 02</t>
  </si>
  <si>
    <t>Haest Martine</t>
  </si>
  <si>
    <t>St.Theresiastraat 127</t>
  </si>
  <si>
    <t>(014)32 00 35</t>
  </si>
  <si>
    <t>Ruts Nadine</t>
  </si>
  <si>
    <t>Esdreef 162</t>
  </si>
  <si>
    <t>(014)32 28 15</t>
  </si>
  <si>
    <t>Smeyers Gustaaf</t>
  </si>
  <si>
    <t>In 't Eegdeken 12</t>
  </si>
  <si>
    <t>(014)58 96 32</t>
  </si>
  <si>
    <t>Sterckx Jos</t>
  </si>
  <si>
    <t>In 't Eegdeken 13</t>
  </si>
  <si>
    <t>(014)58 96 33</t>
  </si>
  <si>
    <t>Stevens Louis</t>
  </si>
  <si>
    <t>Zwartwaterweg 34</t>
  </si>
  <si>
    <t>GENT</t>
  </si>
  <si>
    <t>(09 )123 65 47</t>
  </si>
  <si>
    <t>Van Hout Linda</t>
  </si>
  <si>
    <t>Spoorwegstraat 19</t>
  </si>
  <si>
    <t>BALEN</t>
  </si>
  <si>
    <t>(014)31 32 32</t>
  </si>
  <si>
    <t>Demaretak 1</t>
  </si>
  <si>
    <t>Van Meensel An</t>
  </si>
  <si>
    <t>Gerheide 51</t>
  </si>
  <si>
    <t>Vandoninck Greet</t>
  </si>
  <si>
    <t>Belgiëlei 3</t>
  </si>
  <si>
    <t>WESTERLO</t>
  </si>
  <si>
    <t>(014)54 66 88</t>
  </si>
  <si>
    <t>Vervoort Jos</t>
  </si>
  <si>
    <t>Nieuwstraat 31</t>
  </si>
  <si>
    <t>(014)58 58 58</t>
  </si>
  <si>
    <t>Vos José</t>
  </si>
  <si>
    <t>Vesderstraat 5</t>
  </si>
  <si>
    <t>(014)88 99 77</t>
  </si>
  <si>
    <t>Wilmaers Louisa</t>
  </si>
  <si>
    <t>Leuvensestwg 1</t>
  </si>
  <si>
    <t>BRUSSEL</t>
  </si>
  <si>
    <t>( 02)123 54 68</t>
  </si>
  <si>
    <t>( 02)123 54 69</t>
  </si>
  <si>
    <t>Stagestudenten BM Turnhout</t>
  </si>
  <si>
    <t>Nummer</t>
  </si>
  <si>
    <t>Gebruikersnummer</t>
  </si>
  <si>
    <t>Optie</t>
  </si>
  <si>
    <t>Extra info</t>
  </si>
  <si>
    <t>e-mail</t>
  </si>
  <si>
    <t>r0245418</t>
  </si>
  <si>
    <t>Nick</t>
  </si>
  <si>
    <t>Balemans</t>
  </si>
  <si>
    <t>AF</t>
  </si>
  <si>
    <t>nick.balemans@stu.khk.be</t>
  </si>
  <si>
    <t>r0249646</t>
  </si>
  <si>
    <t>Glenn</t>
  </si>
  <si>
    <t>Bertels</t>
  </si>
  <si>
    <t>stage in buitenland</t>
  </si>
  <si>
    <t>glenn.bertels1@stu.khk.be</t>
  </si>
  <si>
    <t>r0251088</t>
  </si>
  <si>
    <t>Christa</t>
  </si>
  <si>
    <t>Botha</t>
  </si>
  <si>
    <t>christa.botha@stu.khk.be</t>
  </si>
  <si>
    <t>r0247509</t>
  </si>
  <si>
    <t>Brijs</t>
  </si>
  <si>
    <t>nick.brijs@stu.khk.be</t>
  </si>
  <si>
    <t>r0250000</t>
  </si>
  <si>
    <t>Joke</t>
  </si>
  <si>
    <t>Dockx</t>
  </si>
  <si>
    <t>joke.dockx@stu.khk.be</t>
  </si>
  <si>
    <t>r0248981</t>
  </si>
  <si>
    <t>Sofie</t>
  </si>
  <si>
    <t>Fens</t>
  </si>
  <si>
    <t>sofie.fens@stu.khk.be</t>
  </si>
  <si>
    <t>r0247529</t>
  </si>
  <si>
    <t>Hautera</t>
  </si>
  <si>
    <t>katrien.hautera@stu.khk.be</t>
  </si>
  <si>
    <t>r0250131</t>
  </si>
  <si>
    <t>Lore</t>
  </si>
  <si>
    <t>Janssen</t>
  </si>
  <si>
    <t>lore.janssen@stu.khk.be</t>
  </si>
  <si>
    <t>r0249368</t>
  </si>
  <si>
    <t>Stéphanie</t>
  </si>
  <si>
    <t>Marcus</t>
  </si>
  <si>
    <t>stephanie.marcus@stu.khk.be</t>
  </si>
  <si>
    <t>r0249000</t>
  </si>
  <si>
    <t>Lennie</t>
  </si>
  <si>
    <t>Oorts</t>
  </si>
  <si>
    <t>lennie.oorts@stu.khk.be</t>
  </si>
  <si>
    <t>r0249737</t>
  </si>
  <si>
    <t>Jolien</t>
  </si>
  <si>
    <t>Schryvers</t>
  </si>
  <si>
    <t>jolien.schryvers@stu.khk.be</t>
  </si>
  <si>
    <t>r0249246</t>
  </si>
  <si>
    <t>Kelly</t>
  </si>
  <si>
    <t>Swannet</t>
  </si>
  <si>
    <t>kelly.swannet@stu.khk.be</t>
  </si>
  <si>
    <t>r0248965</t>
  </si>
  <si>
    <t>Jan</t>
  </si>
  <si>
    <t>Valenberghs</t>
  </si>
  <si>
    <t>jan.valenberghs@stu.khk.be</t>
  </si>
  <si>
    <t>r0247499</t>
  </si>
  <si>
    <t>Van Loon</t>
  </si>
  <si>
    <t>dimi.van.loon@stu.khk.be</t>
  </si>
  <si>
    <t>r0250186</t>
  </si>
  <si>
    <t>Joren</t>
  </si>
  <si>
    <t>Van Mechelen</t>
  </si>
  <si>
    <t>joren.van.mechelen@stu.khk.be</t>
  </si>
  <si>
    <t>r0247952</t>
  </si>
  <si>
    <t>Jeroen</t>
  </si>
  <si>
    <t>Verdick</t>
  </si>
  <si>
    <t>jeroen.verdick@stu.khk.be</t>
  </si>
  <si>
    <t>r0243447</t>
  </si>
  <si>
    <t>Caroline</t>
  </si>
  <si>
    <t>Verheyen</t>
  </si>
  <si>
    <t>caroline.verheyen@stu.khk.be</t>
  </si>
  <si>
    <t>r0249538</t>
  </si>
  <si>
    <t>Michiel</t>
  </si>
  <si>
    <t>michiel.verheyen@stu.khk.be</t>
  </si>
  <si>
    <t>r0230866</t>
  </si>
  <si>
    <t>Sander</t>
  </si>
  <si>
    <t>Verstraelen</t>
  </si>
  <si>
    <t>sander.verstraelen1@stu.khk.be</t>
  </si>
  <si>
    <t>r0250794</t>
  </si>
  <si>
    <t>Alex</t>
  </si>
  <si>
    <t>Vissers</t>
  </si>
  <si>
    <t>alex.vissers@stu.khk.be</t>
  </si>
  <si>
    <t>r0249541</t>
  </si>
  <si>
    <t>Brosens</t>
  </si>
  <si>
    <t>FV</t>
  </si>
  <si>
    <t>sander.brosens@stu.khk.be</t>
  </si>
  <si>
    <t>r0249508</t>
  </si>
  <si>
    <t>Erik</t>
  </si>
  <si>
    <t>Corluy</t>
  </si>
  <si>
    <t>erik.corluy@stu.khk.be</t>
  </si>
  <si>
    <t>r0250233</t>
  </si>
  <si>
    <t>De Kinderen</t>
  </si>
  <si>
    <t>jasper.de.kinderen@stu.khk.be</t>
  </si>
  <si>
    <t>r0250632</t>
  </si>
  <si>
    <t>Philippe</t>
  </si>
  <si>
    <t>Dilen</t>
  </si>
  <si>
    <t>philippe.dilen@stu.khk.be</t>
  </si>
  <si>
    <t>r0251089</t>
  </si>
  <si>
    <t>Dom</t>
  </si>
  <si>
    <t>yannick.dom@stu.khk.be</t>
  </si>
  <si>
    <t>r0246030</t>
  </si>
  <si>
    <t>Jonah</t>
  </si>
  <si>
    <t>Hendrickx</t>
  </si>
  <si>
    <t>jonah.hendrickx@stu.khk.be</t>
  </si>
  <si>
    <t>r0249336</t>
  </si>
  <si>
    <t>Kristof</t>
  </si>
  <si>
    <t>Jacobs</t>
  </si>
  <si>
    <t>kristof.jacobs@stu.khk.be</t>
  </si>
  <si>
    <t>r0251158</t>
  </si>
  <si>
    <t>Jansens</t>
  </si>
  <si>
    <t>michiel.jansens@stu.khk.be</t>
  </si>
  <si>
    <t>r0250392</t>
  </si>
  <si>
    <t>Marijnissen</t>
  </si>
  <si>
    <t>sander.marijnissen@stu.khk.be</t>
  </si>
  <si>
    <t>r0241146</t>
  </si>
  <si>
    <t>Tinne</t>
  </si>
  <si>
    <t>Miechielsen</t>
  </si>
  <si>
    <t>tine.miechielsen@stu.khk.be</t>
  </si>
  <si>
    <t>r0249763</t>
  </si>
  <si>
    <t>Moelans</t>
  </si>
  <si>
    <t>yannick.moelans@stu.khk.be</t>
  </si>
  <si>
    <t>r0249332</t>
  </si>
  <si>
    <t>Jordy</t>
  </si>
  <si>
    <t>Raeymaekers</t>
  </si>
  <si>
    <t>jordy.raeymaekers@stu.khk.be</t>
  </si>
  <si>
    <t>r0250802</t>
  </si>
  <si>
    <t>Carmen</t>
  </si>
  <si>
    <t>Remeysen</t>
  </si>
  <si>
    <t>carmen.remeysen@stu.khk.be</t>
  </si>
  <si>
    <t>r0250189</t>
  </si>
  <si>
    <t>Manou</t>
  </si>
  <si>
    <t>Schoenmakers</t>
  </si>
  <si>
    <t>manou.schoenmakers@stu.khk.be</t>
  </si>
  <si>
    <t>r0250746</t>
  </si>
  <si>
    <t>Jochem</t>
  </si>
  <si>
    <t>Seels</t>
  </si>
  <si>
    <t>jochem.seels@stu.khk.be</t>
  </si>
  <si>
    <t>r0249535</t>
  </si>
  <si>
    <t>Sels</t>
  </si>
  <si>
    <t>stephanie.sels@stu.khk.be</t>
  </si>
  <si>
    <t>r0240778</t>
  </si>
  <si>
    <t>Stoffelen</t>
  </si>
  <si>
    <t>yannick.stoffelen@stu.khk.be</t>
  </si>
  <si>
    <t>r0245447</t>
  </si>
  <si>
    <t>Tom</t>
  </si>
  <si>
    <t>Van Vugt</t>
  </si>
  <si>
    <t>tom.van.vugt@stu.khk.be</t>
  </si>
  <si>
    <t>r0247616</t>
  </si>
  <si>
    <t>Vreys</t>
  </si>
  <si>
    <t>caroline.vreys@stu.khk.be</t>
  </si>
  <si>
    <t>r0248188</t>
  </si>
  <si>
    <t>Diels</t>
  </si>
  <si>
    <t>MA</t>
  </si>
  <si>
    <t>thomas.diels@stu.khk.be</t>
  </si>
  <si>
    <t>r0245184</t>
  </si>
  <si>
    <t>Carl</t>
  </si>
  <si>
    <t>François</t>
  </si>
  <si>
    <t>carl.francois@stu.khk.be</t>
  </si>
  <si>
    <t>r0247100</t>
  </si>
  <si>
    <t>Barbara</t>
  </si>
  <si>
    <t>Hapers</t>
  </si>
  <si>
    <t>barbara.hapers@stu.khk.be</t>
  </si>
  <si>
    <t>r0249631</t>
  </si>
  <si>
    <t>Maarten</t>
  </si>
  <si>
    <t>Hoyberghs</t>
  </si>
  <si>
    <t>maarten.hoyberghs@stu.khk.be</t>
  </si>
  <si>
    <t>r0250679</t>
  </si>
  <si>
    <t>Laurent</t>
  </si>
  <si>
    <t>Lenaerts</t>
  </si>
  <si>
    <t>laurent.lenaerts@stu.khk.be</t>
  </si>
  <si>
    <t>r0247925</t>
  </si>
  <si>
    <t>Linden</t>
  </si>
  <si>
    <t>kevin.linden@stu.khk.be</t>
  </si>
  <si>
    <t>r0250306</t>
  </si>
  <si>
    <t xml:space="preserve">Bart </t>
  </si>
  <si>
    <t>Maes</t>
  </si>
  <si>
    <t>bart.maes@stu.khk.be</t>
  </si>
  <si>
    <t>r0247301</t>
  </si>
  <si>
    <t>Van Hoek</t>
  </si>
  <si>
    <t>katrien.van.hoek@stu.khk.be</t>
  </si>
  <si>
    <t>r0248014</t>
  </si>
  <si>
    <t>Tanne</t>
  </si>
  <si>
    <t>Vanderkaa</t>
  </si>
  <si>
    <t>tanne.vanderkaa@stu.khk.be</t>
  </si>
  <si>
    <t>r0237197</t>
  </si>
  <si>
    <t>Annick</t>
  </si>
  <si>
    <t>Bax</t>
  </si>
  <si>
    <t>RP</t>
  </si>
  <si>
    <t>annick.bax@stu.khk.be</t>
  </si>
  <si>
    <t>r0246675</t>
  </si>
  <si>
    <t>Gitte</t>
  </si>
  <si>
    <t>Govaerts</t>
  </si>
  <si>
    <t>gitte.govaerts@stu.khk.be</t>
  </si>
  <si>
    <t>r0249616</t>
  </si>
  <si>
    <t>Vanessa</t>
  </si>
  <si>
    <t>vanessa.lenaerts@stu.khk.be</t>
  </si>
  <si>
    <t>s0196442</t>
  </si>
  <si>
    <t>Sabrina</t>
  </si>
  <si>
    <t>Meeuwssen</t>
  </si>
  <si>
    <t>sabrina.meeuwssen@stu.khk.be</t>
  </si>
  <si>
    <t>s0189025</t>
  </si>
  <si>
    <t>Sanne</t>
  </si>
  <si>
    <t>Wouters</t>
  </si>
  <si>
    <t>sanne.wouters@stu.khk.be</t>
  </si>
  <si>
    <t>Evaluatie Januari 2017</t>
  </si>
  <si>
    <t>Evaluatie juni 2017</t>
  </si>
  <si>
    <t>Percentage</t>
  </si>
  <si>
    <t>Evaluatie totaal</t>
  </si>
  <si>
    <t>onvoldoende</t>
  </si>
  <si>
    <t>voldoende</t>
  </si>
  <si>
    <t>onderscheiding</t>
  </si>
  <si>
    <t>grote onderscheiding</t>
  </si>
  <si>
    <t>%</t>
  </si>
  <si>
    <t>graad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</si>
</sst>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  <border>
      <left/>
      <right style="medium">
        <color rgb="FFD0D7E5"/>
      </right>
      <top/>
      <bottom style="medium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0" fillId="2" borderId="0" xfId="0" applyFill="1" applyAlignment="1">
      <alignment textRotation="45"/>
    </xf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3" xfId="0" applyBorder="1"/>
    <xf numFmtId="164" fontId="0" fillId="0" borderId="0" xfId="0" applyNumberForma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/>
    </xf>
    <xf numFmtId="17" fontId="0" fillId="0" borderId="1" xfId="0" applyNumberFormat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/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/>
    <xf numFmtId="164" fontId="0" fillId="0" borderId="2" xfId="0" applyNumberFormat="1" applyBorder="1" applyAlignment="1">
      <alignment horizontal="right" indent="2"/>
    </xf>
    <xf numFmtId="1" fontId="0" fillId="0" borderId="2" xfId="0" applyNumberFormat="1" applyBorder="1" applyAlignment="1">
      <alignment horizontal="right" indent="2"/>
    </xf>
    <xf numFmtId="164" fontId="0" fillId="0" borderId="1" xfId="0" applyNumberFormat="1" applyBorder="1" applyAlignment="1">
      <alignment horizontal="right" indent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0" fillId="0" borderId="0" xfId="1" applyNumberFormat="1" applyFont="1"/>
  </cellXfs>
  <cellStyles count="2">
    <cellStyle name="Procent" xfId="1" builtinId="5"/>
    <cellStyle name="Standaard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96026\Dropbox\cursus%20ICT%201%20BM%20en%20evaluatie\2013-2014%20ICT\Les7%20Excel\resultaat%20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ester2"/>
      <sheetName val="Totaal"/>
      <sheetName val="graad"/>
      <sheetName val="semester1"/>
      <sheetName val="Blad2"/>
      <sheetName val="VZ"/>
      <sheetName val="filter1"/>
      <sheetName val="filter2"/>
    </sheetNames>
    <sheetDataSet>
      <sheetData sheetId="0"/>
      <sheetData sheetId="1"/>
      <sheetData sheetId="2">
        <row r="2">
          <cell r="C2">
            <v>0</v>
          </cell>
          <cell r="D2" t="str">
            <v>onvoldoende</v>
          </cell>
        </row>
        <row r="3">
          <cell r="C3">
            <v>0.5</v>
          </cell>
          <cell r="D3" t="str">
            <v>voldoende</v>
          </cell>
        </row>
        <row r="4">
          <cell r="C4">
            <v>0.68</v>
          </cell>
          <cell r="D4" t="str">
            <v>onderscheiding</v>
          </cell>
        </row>
        <row r="5">
          <cell r="C5">
            <v>0.78</v>
          </cell>
          <cell r="D5" t="str">
            <v>grote onderscheiding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5" displayName="Tabel15" ref="A2:G55" totalsRowShown="0" headerRowDxfId="20" dataDxfId="18" headerRowBorderDxfId="19" tableBorderDxfId="17">
  <sortState xmlns:xlrd2="http://schemas.microsoft.com/office/spreadsheetml/2017/richdata2" ref="A3:G55">
    <sortCondition ref="A3"/>
  </sortState>
  <tableColumns count="7">
    <tableColumn id="1" xr3:uid="{00000000-0010-0000-0000-000001000000}" name="Nummer" dataDxfId="16"/>
    <tableColumn id="2" xr3:uid="{00000000-0010-0000-0000-000002000000}" name="Gebruikersnummer" dataDxfId="15"/>
    <tableColumn id="3" xr3:uid="{00000000-0010-0000-0000-000003000000}" name="Voornaam" dataDxfId="14"/>
    <tableColumn id="4" xr3:uid="{00000000-0010-0000-0000-000004000000}" name="Naam" dataDxfId="13"/>
    <tableColumn id="5" xr3:uid="{00000000-0010-0000-0000-000005000000}" name="Optie" dataDxfId="12"/>
    <tableColumn id="6" xr3:uid="{00000000-0010-0000-0000-000006000000}" name="Extra info" dataDxfId="11"/>
    <tableColumn id="7" xr3:uid="{00000000-0010-0000-0000-000007000000}" name="e-mail" dataDxfId="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ichiel.jansens@stu.khk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I13" sqref="I13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</cols>
  <sheetData>
    <row r="1" spans="1:8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8" ht="18.399999999999999" thickBot="1" x14ac:dyDescent="0.6">
      <c r="A2" s="33" t="s">
        <v>319</v>
      </c>
      <c r="B2" s="34"/>
      <c r="C2" s="34"/>
      <c r="D2" s="34"/>
      <c r="E2" s="34"/>
      <c r="F2" s="34"/>
      <c r="G2" s="34"/>
      <c r="H2" s="35"/>
    </row>
    <row r="3" spans="1:8" ht="48.4" x14ac:dyDescent="0.45">
      <c r="D3" s="3" t="s">
        <v>37</v>
      </c>
      <c r="E3" s="3" t="s">
        <v>36</v>
      </c>
      <c r="F3" s="3" t="s">
        <v>35</v>
      </c>
      <c r="G3" s="3" t="s">
        <v>34</v>
      </c>
    </row>
    <row r="4" spans="1:8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4.65" thickTop="1" x14ac:dyDescent="0.45">
      <c r="A5" s="5">
        <v>1</v>
      </c>
      <c r="B5" s="5" t="s">
        <v>12</v>
      </c>
      <c r="C5" s="6" t="s">
        <v>13</v>
      </c>
      <c r="D5" s="28">
        <v>10</v>
      </c>
      <c r="E5" s="28">
        <v>13</v>
      </c>
      <c r="F5" s="28">
        <v>14</v>
      </c>
      <c r="G5" s="29">
        <f>SUM(D5:F5)</f>
        <v>37</v>
      </c>
    </row>
    <row r="6" spans="1:8" x14ac:dyDescent="0.45">
      <c r="A6" s="4">
        <v>2</v>
      </c>
      <c r="B6" s="4" t="s">
        <v>28</v>
      </c>
      <c r="C6" s="4" t="s">
        <v>29</v>
      </c>
      <c r="D6" s="30">
        <v>18</v>
      </c>
      <c r="E6" s="30">
        <v>14</v>
      </c>
      <c r="F6" s="30">
        <v>12</v>
      </c>
      <c r="G6" s="29">
        <f t="shared" ref="G6:G18" si="0">SUM(D6:F6)</f>
        <v>44</v>
      </c>
    </row>
    <row r="7" spans="1:8" x14ac:dyDescent="0.45">
      <c r="A7" s="4">
        <v>3</v>
      </c>
      <c r="B7" s="4" t="s">
        <v>24</v>
      </c>
      <c r="C7" s="4" t="s">
        <v>25</v>
      </c>
      <c r="D7" s="30">
        <v>10</v>
      </c>
      <c r="E7" s="30">
        <v>6</v>
      </c>
      <c r="F7" s="30">
        <v>8</v>
      </c>
      <c r="G7" s="29">
        <f t="shared" si="0"/>
        <v>24</v>
      </c>
    </row>
    <row r="8" spans="1:8" x14ac:dyDescent="0.45">
      <c r="A8" s="4">
        <v>4</v>
      </c>
      <c r="B8" s="4" t="s">
        <v>6</v>
      </c>
      <c r="C8" s="4" t="s">
        <v>7</v>
      </c>
      <c r="D8" s="30">
        <v>10</v>
      </c>
      <c r="E8" s="30">
        <v>19</v>
      </c>
      <c r="F8" s="30">
        <v>12</v>
      </c>
      <c r="G8" s="29">
        <f t="shared" si="0"/>
        <v>41</v>
      </c>
    </row>
    <row r="9" spans="1:8" x14ac:dyDescent="0.45">
      <c r="A9" s="4">
        <v>5</v>
      </c>
      <c r="B9" s="4" t="s">
        <v>8</v>
      </c>
      <c r="C9" s="4" t="s">
        <v>9</v>
      </c>
      <c r="D9" s="30">
        <v>4</v>
      </c>
      <c r="E9" s="30">
        <v>12</v>
      </c>
      <c r="F9" s="30">
        <v>13</v>
      </c>
      <c r="G9" s="29">
        <f t="shared" si="0"/>
        <v>29</v>
      </c>
    </row>
    <row r="10" spans="1:8" x14ac:dyDescent="0.45">
      <c r="A10" s="4">
        <v>6</v>
      </c>
      <c r="B10" s="4" t="s">
        <v>10</v>
      </c>
      <c r="C10" s="4" t="s">
        <v>11</v>
      </c>
      <c r="D10" s="30">
        <v>5</v>
      </c>
      <c r="E10" s="30">
        <v>10</v>
      </c>
      <c r="F10" s="30">
        <v>10</v>
      </c>
      <c r="G10" s="29">
        <f t="shared" si="0"/>
        <v>25</v>
      </c>
    </row>
    <row r="11" spans="1:8" x14ac:dyDescent="0.45">
      <c r="A11" s="4">
        <v>7</v>
      </c>
      <c r="B11" s="4" t="s">
        <v>4</v>
      </c>
      <c r="C11" s="4" t="s">
        <v>5</v>
      </c>
      <c r="D11" s="30">
        <v>12</v>
      </c>
      <c r="E11" s="30">
        <v>10</v>
      </c>
      <c r="F11" s="30">
        <v>10</v>
      </c>
      <c r="G11" s="29">
        <f t="shared" si="0"/>
        <v>32</v>
      </c>
    </row>
    <row r="12" spans="1:8" x14ac:dyDescent="0.45">
      <c r="A12" s="4">
        <v>8</v>
      </c>
      <c r="B12" s="4" t="s">
        <v>16</v>
      </c>
      <c r="C12" s="4" t="s">
        <v>17</v>
      </c>
      <c r="D12" s="30">
        <v>9</v>
      </c>
      <c r="E12" s="30">
        <v>12</v>
      </c>
      <c r="F12" s="30">
        <v>9</v>
      </c>
      <c r="G12" s="29">
        <f t="shared" si="0"/>
        <v>30</v>
      </c>
    </row>
    <row r="13" spans="1:8" x14ac:dyDescent="0.45">
      <c r="A13" s="4">
        <v>9</v>
      </c>
      <c r="B13" s="4" t="s">
        <v>14</v>
      </c>
      <c r="C13" s="4" t="s">
        <v>15</v>
      </c>
      <c r="D13" s="30">
        <v>3</v>
      </c>
      <c r="E13" s="30">
        <v>12</v>
      </c>
      <c r="F13" s="30">
        <v>7</v>
      </c>
      <c r="G13" s="29">
        <f t="shared" si="0"/>
        <v>22</v>
      </c>
    </row>
    <row r="14" spans="1:8" x14ac:dyDescent="0.45">
      <c r="A14" s="4">
        <v>10</v>
      </c>
      <c r="B14" s="4" t="s">
        <v>22</v>
      </c>
      <c r="C14" s="4" t="s">
        <v>23</v>
      </c>
      <c r="D14" s="30">
        <v>9</v>
      </c>
      <c r="E14" s="30">
        <v>14</v>
      </c>
      <c r="F14" s="30">
        <v>12</v>
      </c>
      <c r="G14" s="29">
        <f t="shared" si="0"/>
        <v>35</v>
      </c>
    </row>
    <row r="15" spans="1:8" x14ac:dyDescent="0.45">
      <c r="A15" s="4">
        <v>11</v>
      </c>
      <c r="B15" s="4" t="s">
        <v>2</v>
      </c>
      <c r="C15" s="4" t="s">
        <v>3</v>
      </c>
      <c r="D15" s="30">
        <v>6</v>
      </c>
      <c r="E15" s="30">
        <v>8</v>
      </c>
      <c r="F15" s="30">
        <v>2</v>
      </c>
      <c r="G15" s="29">
        <f t="shared" si="0"/>
        <v>16</v>
      </c>
    </row>
    <row r="16" spans="1:8" x14ac:dyDescent="0.45">
      <c r="A16" s="4">
        <v>12</v>
      </c>
      <c r="B16" s="4" t="s">
        <v>18</v>
      </c>
      <c r="C16" s="4" t="s">
        <v>19</v>
      </c>
      <c r="D16" s="30">
        <v>7</v>
      </c>
      <c r="E16" s="30">
        <v>5</v>
      </c>
      <c r="F16" s="30">
        <v>14</v>
      </c>
      <c r="G16" s="29">
        <f t="shared" si="0"/>
        <v>26</v>
      </c>
    </row>
    <row r="17" spans="1:8" x14ac:dyDescent="0.45">
      <c r="A17" s="4">
        <v>13</v>
      </c>
      <c r="B17" s="4" t="s">
        <v>20</v>
      </c>
      <c r="C17" s="4" t="s">
        <v>21</v>
      </c>
      <c r="D17" s="30">
        <v>9</v>
      </c>
      <c r="E17" s="30">
        <v>14</v>
      </c>
      <c r="F17" s="30">
        <v>12</v>
      </c>
      <c r="G17" s="29">
        <f t="shared" si="0"/>
        <v>35</v>
      </c>
    </row>
    <row r="18" spans="1:8" x14ac:dyDescent="0.45">
      <c r="A18" s="4">
        <v>14</v>
      </c>
      <c r="B18" s="4" t="s">
        <v>26</v>
      </c>
      <c r="C18" s="4" t="s">
        <v>27</v>
      </c>
      <c r="D18" s="30">
        <v>8</v>
      </c>
      <c r="E18" s="30">
        <v>6</v>
      </c>
      <c r="F18" s="30">
        <v>9</v>
      </c>
      <c r="G18" s="29">
        <f t="shared" si="0"/>
        <v>23</v>
      </c>
    </row>
    <row r="19" spans="1:8" x14ac:dyDescent="0.45">
      <c r="D19" s="8">
        <f>AVERAGE(D5:D18)</f>
        <v>8.5714285714285712</v>
      </c>
      <c r="E19" s="8">
        <f t="shared" ref="E19:G19" si="1">AVERAGE(E5:E18)</f>
        <v>11.071428571428571</v>
      </c>
      <c r="F19" s="8">
        <f t="shared" si="1"/>
        <v>10.285714285714286</v>
      </c>
      <c r="G19" s="8">
        <f t="shared" si="1"/>
        <v>29.928571428571427</v>
      </c>
      <c r="H19" t="s">
        <v>38</v>
      </c>
    </row>
    <row r="20" spans="1:8" x14ac:dyDescent="0.45">
      <c r="D20" s="8">
        <f>MEDIAN(D5:D18)</f>
        <v>9</v>
      </c>
      <c r="E20" s="8">
        <f t="shared" ref="E20:G20" si="2">MEDIAN(E5:E18)</f>
        <v>12</v>
      </c>
      <c r="F20" s="8">
        <f t="shared" si="2"/>
        <v>11</v>
      </c>
      <c r="G20" s="8">
        <f t="shared" si="2"/>
        <v>29.5</v>
      </c>
      <c r="H20" t="s">
        <v>39</v>
      </c>
    </row>
    <row r="21" spans="1:8" x14ac:dyDescent="0.45">
      <c r="A21" t="s">
        <v>40</v>
      </c>
      <c r="C21">
        <f>COUNTA(B5:B18)</f>
        <v>14</v>
      </c>
    </row>
    <row r="22" spans="1:8" x14ac:dyDescent="0.45">
      <c r="A22" t="s">
        <v>41</v>
      </c>
      <c r="C22" s="8">
        <f>MIN(D5:F18)</f>
        <v>2</v>
      </c>
    </row>
    <row r="23" spans="1:8" x14ac:dyDescent="0.45">
      <c r="A23" t="s">
        <v>42</v>
      </c>
      <c r="C23" s="8">
        <f>MAX(D5:F18)</f>
        <v>19</v>
      </c>
    </row>
  </sheetData>
  <sortState xmlns:xlrd2="http://schemas.microsoft.com/office/spreadsheetml/2017/richdata2" ref="B2:F15">
    <sortCondition ref="B2"/>
  </sortState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33D3-748B-499C-8281-4CA6B441035E}">
  <dimension ref="A1:I23"/>
  <sheetViews>
    <sheetView topLeftCell="A2" zoomScale="97" workbookViewId="0">
      <selection activeCell="K10" sqref="K10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</cols>
  <sheetData>
    <row r="1" spans="1:9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9" ht="18.399999999999999" thickBot="1" x14ac:dyDescent="0.6">
      <c r="A2" s="33" t="s">
        <v>320</v>
      </c>
      <c r="B2" s="34"/>
      <c r="C2" s="34"/>
      <c r="D2" s="34"/>
      <c r="E2" s="34"/>
      <c r="F2" s="34"/>
      <c r="G2" s="34"/>
      <c r="H2" s="35"/>
    </row>
    <row r="3" spans="1:9" ht="48.4" x14ac:dyDescent="0.45">
      <c r="D3" s="3" t="s">
        <v>37</v>
      </c>
      <c r="E3" s="3" t="s">
        <v>36</v>
      </c>
      <c r="F3" s="3" t="s">
        <v>35</v>
      </c>
      <c r="G3" s="3" t="s">
        <v>34</v>
      </c>
      <c r="H3" s="3" t="s">
        <v>321</v>
      </c>
      <c r="I3" s="3"/>
    </row>
    <row r="4" spans="1:9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9" ht="14.65" thickTop="1" x14ac:dyDescent="0.45">
      <c r="A5" s="5">
        <v>1</v>
      </c>
      <c r="B5" s="5" t="s">
        <v>12</v>
      </c>
      <c r="C5" s="6" t="s">
        <v>13</v>
      </c>
      <c r="D5" s="28">
        <v>12</v>
      </c>
      <c r="E5" s="28">
        <v>10</v>
      </c>
      <c r="F5" s="28">
        <v>13</v>
      </c>
      <c r="G5" s="29">
        <f>SUM(D5:F5)</f>
        <v>35</v>
      </c>
      <c r="H5" s="36">
        <f>G5/60</f>
        <v>0.58333333333333337</v>
      </c>
      <c r="I5" s="29"/>
    </row>
    <row r="6" spans="1:9" x14ac:dyDescent="0.45">
      <c r="A6" s="4">
        <v>2</v>
      </c>
      <c r="B6" s="4" t="s">
        <v>28</v>
      </c>
      <c r="C6" s="4" t="s">
        <v>29</v>
      </c>
      <c r="D6" s="30">
        <v>18</v>
      </c>
      <c r="E6" s="30">
        <v>16</v>
      </c>
      <c r="F6" s="30">
        <v>15</v>
      </c>
      <c r="G6" s="29">
        <f t="shared" ref="G6:I18" si="0">SUM(D6:F6)</f>
        <v>49</v>
      </c>
      <c r="H6" s="36">
        <f t="shared" ref="H6:H18" si="1">G6/60</f>
        <v>0.81666666666666665</v>
      </c>
      <c r="I6" s="29"/>
    </row>
    <row r="7" spans="1:9" x14ac:dyDescent="0.45">
      <c r="A7" s="4">
        <v>3</v>
      </c>
      <c r="B7" s="4" t="s">
        <v>24</v>
      </c>
      <c r="C7" s="4" t="s">
        <v>25</v>
      </c>
      <c r="D7" s="30">
        <v>12</v>
      </c>
      <c r="E7" s="30">
        <v>6</v>
      </c>
      <c r="F7" s="30">
        <v>10</v>
      </c>
      <c r="G7" s="29">
        <f t="shared" si="0"/>
        <v>28</v>
      </c>
      <c r="H7" s="36">
        <f t="shared" si="1"/>
        <v>0.46666666666666667</v>
      </c>
      <c r="I7" s="29"/>
    </row>
    <row r="8" spans="1:9" x14ac:dyDescent="0.45">
      <c r="A8" s="4">
        <v>4</v>
      </c>
      <c r="B8" s="4" t="s">
        <v>6</v>
      </c>
      <c r="C8" s="4" t="s">
        <v>7</v>
      </c>
      <c r="D8" s="30">
        <v>12</v>
      </c>
      <c r="E8" s="30">
        <v>18</v>
      </c>
      <c r="F8" s="30">
        <v>13</v>
      </c>
      <c r="G8" s="29">
        <f t="shared" si="0"/>
        <v>43</v>
      </c>
      <c r="H8" s="36">
        <f t="shared" si="1"/>
        <v>0.71666666666666667</v>
      </c>
      <c r="I8" s="29"/>
    </row>
    <row r="9" spans="1:9" x14ac:dyDescent="0.45">
      <c r="A9" s="4">
        <v>5</v>
      </c>
      <c r="B9" s="4" t="s">
        <v>8</v>
      </c>
      <c r="C9" s="4" t="s">
        <v>9</v>
      </c>
      <c r="D9" s="30">
        <v>6</v>
      </c>
      <c r="E9" s="30">
        <v>14</v>
      </c>
      <c r="F9" s="30">
        <v>8</v>
      </c>
      <c r="G9" s="29">
        <f t="shared" si="0"/>
        <v>28</v>
      </c>
      <c r="H9" s="36">
        <f t="shared" si="1"/>
        <v>0.46666666666666667</v>
      </c>
      <c r="I9" s="29"/>
    </row>
    <row r="10" spans="1:9" x14ac:dyDescent="0.45">
      <c r="A10" s="4">
        <v>6</v>
      </c>
      <c r="B10" s="4" t="s">
        <v>10</v>
      </c>
      <c r="C10" s="4" t="s">
        <v>11</v>
      </c>
      <c r="D10" s="30">
        <v>5</v>
      </c>
      <c r="E10" s="30">
        <v>13</v>
      </c>
      <c r="F10" s="30">
        <v>8</v>
      </c>
      <c r="G10" s="29">
        <f t="shared" si="0"/>
        <v>26</v>
      </c>
      <c r="H10" s="36">
        <f t="shared" si="1"/>
        <v>0.43333333333333335</v>
      </c>
      <c r="I10" s="29"/>
    </row>
    <row r="11" spans="1:9" x14ac:dyDescent="0.45">
      <c r="A11" s="4">
        <v>7</v>
      </c>
      <c r="B11" s="4" t="s">
        <v>4</v>
      </c>
      <c r="C11" s="4" t="s">
        <v>5</v>
      </c>
      <c r="D11" s="30">
        <v>12</v>
      </c>
      <c r="E11" s="30">
        <v>11</v>
      </c>
      <c r="F11" s="30">
        <v>13</v>
      </c>
      <c r="G11" s="29">
        <f t="shared" si="0"/>
        <v>36</v>
      </c>
      <c r="H11" s="36">
        <f t="shared" si="1"/>
        <v>0.6</v>
      </c>
      <c r="I11" s="29"/>
    </row>
    <row r="12" spans="1:9" x14ac:dyDescent="0.45">
      <c r="A12" s="4">
        <v>8</v>
      </c>
      <c r="B12" s="4" t="s">
        <v>16</v>
      </c>
      <c r="C12" s="4" t="s">
        <v>17</v>
      </c>
      <c r="D12" s="30">
        <v>10</v>
      </c>
      <c r="E12" s="30">
        <v>13</v>
      </c>
      <c r="F12" s="30">
        <v>10</v>
      </c>
      <c r="G12" s="29">
        <f t="shared" si="0"/>
        <v>33</v>
      </c>
      <c r="H12" s="36">
        <f t="shared" si="1"/>
        <v>0.55000000000000004</v>
      </c>
      <c r="I12" s="29"/>
    </row>
    <row r="13" spans="1:9" x14ac:dyDescent="0.45">
      <c r="A13" s="4">
        <v>9</v>
      </c>
      <c r="B13" s="4" t="s">
        <v>14</v>
      </c>
      <c r="C13" s="4" t="s">
        <v>15</v>
      </c>
      <c r="D13" s="30">
        <v>4</v>
      </c>
      <c r="E13" s="30">
        <v>13</v>
      </c>
      <c r="F13" s="30">
        <v>6</v>
      </c>
      <c r="G13" s="29">
        <f t="shared" si="0"/>
        <v>23</v>
      </c>
      <c r="H13" s="36">
        <f t="shared" si="1"/>
        <v>0.38333333333333336</v>
      </c>
      <c r="I13" s="29"/>
    </row>
    <row r="14" spans="1:9" x14ac:dyDescent="0.45">
      <c r="A14" s="4">
        <v>10</v>
      </c>
      <c r="B14" s="4" t="s">
        <v>22</v>
      </c>
      <c r="C14" s="4" t="s">
        <v>23</v>
      </c>
      <c r="D14" s="30">
        <v>15</v>
      </c>
      <c r="E14" s="30">
        <v>13</v>
      </c>
      <c r="F14" s="30">
        <v>16</v>
      </c>
      <c r="G14" s="29">
        <f t="shared" si="0"/>
        <v>44</v>
      </c>
      <c r="H14" s="36">
        <f t="shared" si="1"/>
        <v>0.73333333333333328</v>
      </c>
      <c r="I14" s="29"/>
    </row>
    <row r="15" spans="1:9" x14ac:dyDescent="0.45">
      <c r="A15" s="4">
        <v>11</v>
      </c>
      <c r="B15" s="4" t="s">
        <v>2</v>
      </c>
      <c r="C15" s="4" t="s">
        <v>3</v>
      </c>
      <c r="D15" s="30">
        <v>5</v>
      </c>
      <c r="E15" s="30">
        <v>10</v>
      </c>
      <c r="F15" s="30">
        <v>4</v>
      </c>
      <c r="G15" s="29">
        <f t="shared" si="0"/>
        <v>19</v>
      </c>
      <c r="H15" s="36">
        <f t="shared" si="1"/>
        <v>0.31666666666666665</v>
      </c>
      <c r="I15" s="29"/>
    </row>
    <row r="16" spans="1:9" x14ac:dyDescent="0.45">
      <c r="A16" s="4">
        <v>12</v>
      </c>
      <c r="B16" s="4" t="s">
        <v>18</v>
      </c>
      <c r="C16" s="4" t="s">
        <v>19</v>
      </c>
      <c r="D16" s="30">
        <v>5</v>
      </c>
      <c r="E16" s="30">
        <v>5</v>
      </c>
      <c r="F16" s="30">
        <v>16</v>
      </c>
      <c r="G16" s="29">
        <f t="shared" si="0"/>
        <v>26</v>
      </c>
      <c r="H16" s="36">
        <f t="shared" si="1"/>
        <v>0.43333333333333335</v>
      </c>
      <c r="I16" s="29"/>
    </row>
    <row r="17" spans="1:9" x14ac:dyDescent="0.45">
      <c r="A17" s="4">
        <v>13</v>
      </c>
      <c r="B17" s="4" t="s">
        <v>20</v>
      </c>
      <c r="C17" s="4" t="s">
        <v>21</v>
      </c>
      <c r="D17" s="30">
        <v>8</v>
      </c>
      <c r="E17" s="30">
        <v>15</v>
      </c>
      <c r="F17" s="30">
        <v>14</v>
      </c>
      <c r="G17" s="29">
        <f t="shared" si="0"/>
        <v>37</v>
      </c>
      <c r="H17" s="36">
        <f t="shared" si="1"/>
        <v>0.6166666666666667</v>
      </c>
      <c r="I17" s="29"/>
    </row>
    <row r="18" spans="1:9" x14ac:dyDescent="0.45">
      <c r="A18" s="4">
        <v>14</v>
      </c>
      <c r="B18" s="4" t="s">
        <v>26</v>
      </c>
      <c r="C18" s="4" t="s">
        <v>27</v>
      </c>
      <c r="D18" s="30">
        <v>10</v>
      </c>
      <c r="E18" s="30">
        <v>8</v>
      </c>
      <c r="F18" s="30">
        <v>10</v>
      </c>
      <c r="G18" s="29">
        <f t="shared" si="0"/>
        <v>28</v>
      </c>
      <c r="H18" s="36">
        <f t="shared" si="1"/>
        <v>0.46666666666666667</v>
      </c>
      <c r="I18" s="29"/>
    </row>
    <row r="19" spans="1:9" x14ac:dyDescent="0.45">
      <c r="D19" s="8">
        <f>AVERAGE(D5:D18)</f>
        <v>9.5714285714285712</v>
      </c>
      <c r="E19" s="8">
        <f t="shared" ref="E19:G19" si="2">AVERAGE(E5:E18)</f>
        <v>11.785714285714286</v>
      </c>
      <c r="F19" s="8">
        <f t="shared" si="2"/>
        <v>11.142857142857142</v>
      </c>
      <c r="G19" s="8">
        <f t="shared" si="2"/>
        <v>32.5</v>
      </c>
      <c r="H19" t="s">
        <v>38</v>
      </c>
    </row>
    <row r="20" spans="1:9" x14ac:dyDescent="0.45">
      <c r="D20" s="8">
        <f>MEDIAN(D5:D18)</f>
        <v>10</v>
      </c>
      <c r="E20" s="8">
        <f t="shared" ref="E20:G20" si="3">MEDIAN(E5:E18)</f>
        <v>13</v>
      </c>
      <c r="F20" s="8">
        <f t="shared" si="3"/>
        <v>11.5</v>
      </c>
      <c r="G20" s="8">
        <f t="shared" si="3"/>
        <v>30.5</v>
      </c>
      <c r="H20" t="s">
        <v>39</v>
      </c>
    </row>
    <row r="21" spans="1:9" x14ac:dyDescent="0.45">
      <c r="A21" t="s">
        <v>40</v>
      </c>
      <c r="C21">
        <f>COUNTA(B5:B18)</f>
        <v>14</v>
      </c>
    </row>
    <row r="22" spans="1:9" x14ac:dyDescent="0.45">
      <c r="A22" t="s">
        <v>41</v>
      </c>
      <c r="C22" s="8">
        <f>MIN(D5:F18)</f>
        <v>4</v>
      </c>
    </row>
    <row r="23" spans="1:9" x14ac:dyDescent="0.45">
      <c r="A23" t="s">
        <v>42</v>
      </c>
      <c r="C23" s="8">
        <f>MAX(D5:F18)</f>
        <v>18</v>
      </c>
    </row>
  </sheetData>
  <mergeCells count="1">
    <mergeCell ref="A2:H2"/>
  </mergeCells>
  <conditionalFormatting sqref="D5:F18">
    <cfRule type="cellIs" dxfId="1" priority="4" operator="lessThan">
      <formula>10</formula>
    </cfRule>
  </conditionalFormatting>
  <conditionalFormatting sqref="H5:H18">
    <cfRule type="iconSet" priority="2">
      <iconSet iconSet="3Symbols">
        <cfvo type="percent" val="0"/>
        <cfvo type="num" val="0.5"/>
        <cfvo type="num" val="0.7"/>
      </iconSet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7688-2B8A-4ECB-964B-79340AC0C20F}">
  <dimension ref="A1:I23"/>
  <sheetViews>
    <sheetView tabSelected="1" zoomScale="97" workbookViewId="0">
      <selection activeCell="H28" sqref="H28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  <col min="9" max="9" width="20.3984375" bestFit="1" customWidth="1"/>
  </cols>
  <sheetData>
    <row r="1" spans="1:9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9" ht="18.399999999999999" thickBot="1" x14ac:dyDescent="0.6">
      <c r="A2" s="33" t="s">
        <v>322</v>
      </c>
      <c r="B2" s="34"/>
      <c r="C2" s="34"/>
      <c r="D2" s="34"/>
      <c r="E2" s="34"/>
      <c r="F2" s="34"/>
      <c r="G2" s="34"/>
      <c r="H2" s="35"/>
    </row>
    <row r="3" spans="1:9" ht="48.4" x14ac:dyDescent="0.45">
      <c r="D3" s="3" t="s">
        <v>37</v>
      </c>
      <c r="E3" s="3" t="s">
        <v>36</v>
      </c>
      <c r="F3" s="3" t="s">
        <v>35</v>
      </c>
      <c r="G3" s="3" t="s">
        <v>34</v>
      </c>
      <c r="H3" s="3" t="s">
        <v>321</v>
      </c>
      <c r="I3" s="3" t="s">
        <v>328</v>
      </c>
    </row>
    <row r="4" spans="1:9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9" ht="14.65" thickTop="1" x14ac:dyDescent="0.45">
      <c r="A5" s="5">
        <v>1</v>
      </c>
      <c r="B5" s="5" t="s">
        <v>12</v>
      </c>
      <c r="C5" s="6" t="s">
        <v>13</v>
      </c>
      <c r="D5" s="28">
        <f>semester1!D5*0.4+semester2!D5*0.6</f>
        <v>11.2</v>
      </c>
      <c r="E5" s="28">
        <f>semester1!E5*0.4+semester2!E5*0.6</f>
        <v>11.2</v>
      </c>
      <c r="F5" s="28">
        <f>semester1!F5*0.4+semester2!F5*0.6</f>
        <v>13.4</v>
      </c>
      <c r="G5" s="29">
        <f>SUM(D5:F5)</f>
        <v>35.799999999999997</v>
      </c>
      <c r="H5" s="36">
        <f>G5/60</f>
        <v>0.59666666666666657</v>
      </c>
      <c r="I5" s="29" t="str">
        <f>IF(H5&lt;0.5,"onvoldoende",IF(H5&lt;0.68,"voldoende",IF(H5&lt;0.75,"onderscheiding","grote onderscheiding")))</f>
        <v>voldoende</v>
      </c>
    </row>
    <row r="6" spans="1:9" x14ac:dyDescent="0.45">
      <c r="A6" s="4">
        <v>2</v>
      </c>
      <c r="B6" s="4" t="s">
        <v>28</v>
      </c>
      <c r="C6" s="4" t="s">
        <v>29</v>
      </c>
      <c r="D6" s="28">
        <f>semester1!D6*0.4+semester2!D6*0.6</f>
        <v>18</v>
      </c>
      <c r="E6" s="28">
        <f>semester1!E6*0.4+semester2!E6*0.6</f>
        <v>15.2</v>
      </c>
      <c r="F6" s="28">
        <f>semester1!F6*0.4+semester2!F6*0.6</f>
        <v>13.8</v>
      </c>
      <c r="G6" s="29">
        <f t="shared" ref="G6:G18" si="0">SUM(D6:F6)</f>
        <v>47</v>
      </c>
      <c r="H6" s="36">
        <f t="shared" ref="H6:H18" si="1">G6/60</f>
        <v>0.78333333333333333</v>
      </c>
      <c r="I6" s="29" t="str">
        <f t="shared" ref="I6:I18" si="2">IF(H6&lt;0.5,"onvoldoende",IF(H6&lt;0.68,"voldoende",IF(H6&lt;0.75,"onderscheiding","grote onderscheiding")))</f>
        <v>grote onderscheiding</v>
      </c>
    </row>
    <row r="7" spans="1:9" x14ac:dyDescent="0.45">
      <c r="A7" s="4">
        <v>3</v>
      </c>
      <c r="B7" s="4" t="s">
        <v>24</v>
      </c>
      <c r="C7" s="4" t="s">
        <v>25</v>
      </c>
      <c r="D7" s="28">
        <f>semester1!D7*0.4+semester2!D7*0.6</f>
        <v>11.2</v>
      </c>
      <c r="E7" s="28">
        <f>semester1!E7*0.4+semester2!E7*0.6</f>
        <v>6</v>
      </c>
      <c r="F7" s="28">
        <f>semester1!F7*0.4+semester2!F7*0.6</f>
        <v>9.1999999999999993</v>
      </c>
      <c r="G7" s="29">
        <f t="shared" si="0"/>
        <v>26.4</v>
      </c>
      <c r="H7" s="36">
        <f t="shared" si="1"/>
        <v>0.44</v>
      </c>
      <c r="I7" s="29" t="str">
        <f t="shared" si="2"/>
        <v>onvoldoende</v>
      </c>
    </row>
    <row r="8" spans="1:9" x14ac:dyDescent="0.45">
      <c r="A8" s="4">
        <v>4</v>
      </c>
      <c r="B8" s="4" t="s">
        <v>6</v>
      </c>
      <c r="C8" s="4" t="s">
        <v>7</v>
      </c>
      <c r="D8" s="28">
        <f>semester1!D8*0.4+semester2!D8*0.6</f>
        <v>11.2</v>
      </c>
      <c r="E8" s="28">
        <f>semester1!E8*0.4+semester2!E8*0.6</f>
        <v>18.399999999999999</v>
      </c>
      <c r="F8" s="28">
        <f>semester1!F8*0.4+semester2!F8*0.6</f>
        <v>12.600000000000001</v>
      </c>
      <c r="G8" s="29">
        <f t="shared" si="0"/>
        <v>42.2</v>
      </c>
      <c r="H8" s="36">
        <f t="shared" si="1"/>
        <v>0.70333333333333337</v>
      </c>
      <c r="I8" s="29" t="str">
        <f t="shared" si="2"/>
        <v>onderscheiding</v>
      </c>
    </row>
    <row r="9" spans="1:9" x14ac:dyDescent="0.45">
      <c r="A9" s="4">
        <v>5</v>
      </c>
      <c r="B9" s="4" t="s">
        <v>8</v>
      </c>
      <c r="C9" s="4" t="s">
        <v>9</v>
      </c>
      <c r="D9" s="28">
        <f>semester1!D9*0.4+semester2!D9*0.6</f>
        <v>5.1999999999999993</v>
      </c>
      <c r="E9" s="28">
        <f>semester1!E9*0.4+semester2!E9*0.6</f>
        <v>13.200000000000001</v>
      </c>
      <c r="F9" s="28">
        <f>semester1!F9*0.4+semester2!F9*0.6</f>
        <v>10</v>
      </c>
      <c r="G9" s="29">
        <f t="shared" si="0"/>
        <v>28.4</v>
      </c>
      <c r="H9" s="36">
        <f t="shared" si="1"/>
        <v>0.47333333333333333</v>
      </c>
      <c r="I9" s="29" t="str">
        <f t="shared" si="2"/>
        <v>onvoldoende</v>
      </c>
    </row>
    <row r="10" spans="1:9" x14ac:dyDescent="0.45">
      <c r="A10" s="4">
        <v>6</v>
      </c>
      <c r="B10" s="4" t="s">
        <v>10</v>
      </c>
      <c r="C10" s="4" t="s">
        <v>11</v>
      </c>
      <c r="D10" s="28">
        <f>semester1!D10*0.4+semester2!D10*0.6</f>
        <v>5</v>
      </c>
      <c r="E10" s="28">
        <f>semester1!E10*0.4+semester2!E10*0.6</f>
        <v>11.8</v>
      </c>
      <c r="F10" s="28">
        <f>semester1!F10*0.4+semester2!F10*0.6</f>
        <v>8.8000000000000007</v>
      </c>
      <c r="G10" s="29">
        <f t="shared" si="0"/>
        <v>25.6</v>
      </c>
      <c r="H10" s="36">
        <f t="shared" si="1"/>
        <v>0.42666666666666669</v>
      </c>
      <c r="I10" s="29" t="str">
        <f t="shared" si="2"/>
        <v>onvoldoende</v>
      </c>
    </row>
    <row r="11" spans="1:9" x14ac:dyDescent="0.45">
      <c r="A11" s="4">
        <v>7</v>
      </c>
      <c r="B11" s="4" t="s">
        <v>4</v>
      </c>
      <c r="C11" s="4" t="s">
        <v>5</v>
      </c>
      <c r="D11" s="28">
        <f>semester1!D11*0.4+semester2!D11*0.6</f>
        <v>12</v>
      </c>
      <c r="E11" s="28">
        <f>semester1!E11*0.4+semester2!E11*0.6</f>
        <v>10.6</v>
      </c>
      <c r="F11" s="28">
        <f>semester1!F11*0.4+semester2!F11*0.6</f>
        <v>11.8</v>
      </c>
      <c r="G11" s="29">
        <f t="shared" si="0"/>
        <v>34.400000000000006</v>
      </c>
      <c r="H11" s="36">
        <f t="shared" si="1"/>
        <v>0.57333333333333347</v>
      </c>
      <c r="I11" s="29" t="str">
        <f t="shared" si="2"/>
        <v>voldoende</v>
      </c>
    </row>
    <row r="12" spans="1:9" x14ac:dyDescent="0.45">
      <c r="A12" s="4">
        <v>8</v>
      </c>
      <c r="B12" s="4" t="s">
        <v>16</v>
      </c>
      <c r="C12" s="4" t="s">
        <v>17</v>
      </c>
      <c r="D12" s="28">
        <f>semester1!D12*0.4+semester2!D12*0.6</f>
        <v>9.6</v>
      </c>
      <c r="E12" s="28">
        <f>semester1!E12*0.4+semester2!E12*0.6</f>
        <v>12.600000000000001</v>
      </c>
      <c r="F12" s="28">
        <f>semester1!F12*0.4+semester2!F12*0.6</f>
        <v>9.6</v>
      </c>
      <c r="G12" s="29">
        <f t="shared" si="0"/>
        <v>31.800000000000004</v>
      </c>
      <c r="H12" s="36">
        <f t="shared" si="1"/>
        <v>0.53</v>
      </c>
      <c r="I12" s="29" t="str">
        <f t="shared" si="2"/>
        <v>voldoende</v>
      </c>
    </row>
    <row r="13" spans="1:9" x14ac:dyDescent="0.45">
      <c r="A13" s="4">
        <v>9</v>
      </c>
      <c r="B13" s="4" t="s">
        <v>14</v>
      </c>
      <c r="C13" s="4" t="s">
        <v>15</v>
      </c>
      <c r="D13" s="28">
        <f>semester1!D13*0.4+semester2!D13*0.6</f>
        <v>3.6</v>
      </c>
      <c r="E13" s="28">
        <f>semester1!E13*0.4+semester2!E13*0.6</f>
        <v>12.600000000000001</v>
      </c>
      <c r="F13" s="28">
        <f>semester1!F13*0.4+semester2!F13*0.6</f>
        <v>6.4</v>
      </c>
      <c r="G13" s="29">
        <f t="shared" si="0"/>
        <v>22.6</v>
      </c>
      <c r="H13" s="36">
        <f t="shared" si="1"/>
        <v>0.37666666666666671</v>
      </c>
      <c r="I13" s="29" t="str">
        <f t="shared" si="2"/>
        <v>onvoldoende</v>
      </c>
    </row>
    <row r="14" spans="1:9" x14ac:dyDescent="0.45">
      <c r="A14" s="4">
        <v>10</v>
      </c>
      <c r="B14" s="4" t="s">
        <v>22</v>
      </c>
      <c r="C14" s="4" t="s">
        <v>23</v>
      </c>
      <c r="D14" s="28">
        <f>semester1!D14*0.4+semester2!D14*0.6</f>
        <v>12.6</v>
      </c>
      <c r="E14" s="28">
        <f>semester1!E14*0.4+semester2!E14*0.6</f>
        <v>13.4</v>
      </c>
      <c r="F14" s="28">
        <f>semester1!F14*0.4+semester2!F14*0.6</f>
        <v>14.4</v>
      </c>
      <c r="G14" s="29">
        <f t="shared" si="0"/>
        <v>40.4</v>
      </c>
      <c r="H14" s="36">
        <f t="shared" si="1"/>
        <v>0.67333333333333334</v>
      </c>
      <c r="I14" s="29" t="str">
        <f t="shared" si="2"/>
        <v>voldoende</v>
      </c>
    </row>
    <row r="15" spans="1:9" x14ac:dyDescent="0.45">
      <c r="A15" s="4">
        <v>11</v>
      </c>
      <c r="B15" s="4" t="s">
        <v>2</v>
      </c>
      <c r="C15" s="4" t="s">
        <v>3</v>
      </c>
      <c r="D15" s="28">
        <f>semester1!D15*0.4+semester2!D15*0.6</f>
        <v>5.4</v>
      </c>
      <c r="E15" s="28">
        <f>semester1!E15*0.4+semester2!E15*0.6</f>
        <v>9.1999999999999993</v>
      </c>
      <c r="F15" s="28">
        <f>semester1!F15*0.4+semester2!F15*0.6</f>
        <v>3.2</v>
      </c>
      <c r="G15" s="29">
        <f t="shared" si="0"/>
        <v>17.8</v>
      </c>
      <c r="H15" s="36">
        <f t="shared" si="1"/>
        <v>0.29666666666666669</v>
      </c>
      <c r="I15" s="29" t="str">
        <f t="shared" si="2"/>
        <v>onvoldoende</v>
      </c>
    </row>
    <row r="16" spans="1:9" x14ac:dyDescent="0.45">
      <c r="A16" s="4">
        <v>12</v>
      </c>
      <c r="B16" s="4" t="s">
        <v>18</v>
      </c>
      <c r="C16" s="4" t="s">
        <v>19</v>
      </c>
      <c r="D16" s="28">
        <f>semester1!D16*0.4+semester2!D16*0.6</f>
        <v>5.8000000000000007</v>
      </c>
      <c r="E16" s="28">
        <f>semester1!E16*0.4+semester2!E16*0.6</f>
        <v>5</v>
      </c>
      <c r="F16" s="28">
        <f>semester1!F16*0.4+semester2!F16*0.6</f>
        <v>15.2</v>
      </c>
      <c r="G16" s="29">
        <f t="shared" si="0"/>
        <v>26</v>
      </c>
      <c r="H16" s="36">
        <f t="shared" si="1"/>
        <v>0.43333333333333335</v>
      </c>
      <c r="I16" s="29" t="str">
        <f t="shared" si="2"/>
        <v>onvoldoende</v>
      </c>
    </row>
    <row r="17" spans="1:9" x14ac:dyDescent="0.45">
      <c r="A17" s="4">
        <v>13</v>
      </c>
      <c r="B17" s="4" t="s">
        <v>20</v>
      </c>
      <c r="C17" s="4" t="s">
        <v>21</v>
      </c>
      <c r="D17" s="28">
        <f>semester1!D17*0.4+semester2!D17*0.6</f>
        <v>8.4</v>
      </c>
      <c r="E17" s="28">
        <f>semester1!E17*0.4+semester2!E17*0.6</f>
        <v>14.600000000000001</v>
      </c>
      <c r="F17" s="28">
        <f>semester1!F17*0.4+semester2!F17*0.6</f>
        <v>13.200000000000001</v>
      </c>
      <c r="G17" s="29">
        <f t="shared" si="0"/>
        <v>36.200000000000003</v>
      </c>
      <c r="H17" s="36">
        <f t="shared" si="1"/>
        <v>0.60333333333333339</v>
      </c>
      <c r="I17" s="29" t="str">
        <f t="shared" si="2"/>
        <v>voldoende</v>
      </c>
    </row>
    <row r="18" spans="1:9" x14ac:dyDescent="0.45">
      <c r="A18" s="4">
        <v>14</v>
      </c>
      <c r="B18" s="4" t="s">
        <v>26</v>
      </c>
      <c r="C18" s="4" t="s">
        <v>27</v>
      </c>
      <c r="D18" s="28">
        <f>semester1!D18*0.4+semester2!D18*0.6</f>
        <v>9.1999999999999993</v>
      </c>
      <c r="E18" s="28">
        <f>semester1!E18*0.4+semester2!E18*0.6</f>
        <v>7.2</v>
      </c>
      <c r="F18" s="28">
        <f>semester1!F18*0.4+semester2!F18*0.6</f>
        <v>9.6</v>
      </c>
      <c r="G18" s="29">
        <f t="shared" si="0"/>
        <v>26</v>
      </c>
      <c r="H18" s="36">
        <f t="shared" si="1"/>
        <v>0.43333333333333335</v>
      </c>
      <c r="I18" s="29" t="str">
        <f t="shared" si="2"/>
        <v>onvoldoende</v>
      </c>
    </row>
    <row r="19" spans="1:9" x14ac:dyDescent="0.45">
      <c r="D19" s="8">
        <f>AVERAGE(D5:D18)</f>
        <v>9.171428571428569</v>
      </c>
      <c r="E19" s="8">
        <f t="shared" ref="E19:G19" si="3">AVERAGE(E5:E18)</f>
        <v>11.499999999999998</v>
      </c>
      <c r="F19" s="8">
        <f t="shared" si="3"/>
        <v>10.799999999999999</v>
      </c>
      <c r="G19" s="8">
        <f t="shared" si="3"/>
        <v>31.471428571428568</v>
      </c>
      <c r="H19" t="s">
        <v>38</v>
      </c>
    </row>
    <row r="20" spans="1:9" x14ac:dyDescent="0.45">
      <c r="D20" s="8">
        <f>MEDIAN(D5:D18)</f>
        <v>9.3999999999999986</v>
      </c>
      <c r="E20" s="8">
        <f t="shared" ref="E20:G20" si="4">MEDIAN(E5:E18)</f>
        <v>12.200000000000001</v>
      </c>
      <c r="F20" s="8">
        <f t="shared" si="4"/>
        <v>10.9</v>
      </c>
      <c r="G20" s="8">
        <f t="shared" si="4"/>
        <v>30.1</v>
      </c>
      <c r="H20" t="s">
        <v>39</v>
      </c>
    </row>
    <row r="21" spans="1:9" x14ac:dyDescent="0.45">
      <c r="A21" t="s">
        <v>40</v>
      </c>
      <c r="C21">
        <f>COUNTA(B5:B18)</f>
        <v>14</v>
      </c>
    </row>
    <row r="22" spans="1:9" x14ac:dyDescent="0.45">
      <c r="A22" t="s">
        <v>41</v>
      </c>
      <c r="C22" s="8">
        <f>MIN(D5:F18)</f>
        <v>3.2</v>
      </c>
    </row>
    <row r="23" spans="1:9" x14ac:dyDescent="0.45">
      <c r="A23" t="s">
        <v>42</v>
      </c>
      <c r="C23" s="8">
        <f>MAX(D5:F18)</f>
        <v>18.399999999999999</v>
      </c>
    </row>
  </sheetData>
  <mergeCells count="1">
    <mergeCell ref="A2:H2"/>
  </mergeCells>
  <conditionalFormatting sqref="D5:F18">
    <cfRule type="cellIs" dxfId="0" priority="2" operator="lessThan">
      <formula>10</formula>
    </cfRule>
  </conditionalFormatting>
  <conditionalFormatting sqref="H5:H18">
    <cfRule type="iconSet" priority="1">
      <iconSet iconSet="3Symbols">
        <cfvo type="percent" val="0"/>
        <cfvo type="num" val="0.5"/>
        <cfvo type="num" val="0.7"/>
      </iconSet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6D47-95E0-41B6-A285-405AE6B22495}">
  <dimension ref="B2:C6"/>
  <sheetViews>
    <sheetView workbookViewId="0">
      <selection activeCell="C13" sqref="C13"/>
    </sheetView>
  </sheetViews>
  <sheetFormatPr defaultRowHeight="14.25" x14ac:dyDescent="0.45"/>
  <cols>
    <col min="3" max="3" width="17.46484375" bestFit="1" customWidth="1"/>
  </cols>
  <sheetData>
    <row r="2" spans="2:3" x14ac:dyDescent="0.45">
      <c r="B2" t="s">
        <v>327</v>
      </c>
      <c r="C2" t="s">
        <v>328</v>
      </c>
    </row>
    <row r="3" spans="2:3" x14ac:dyDescent="0.45">
      <c r="B3">
        <v>0</v>
      </c>
      <c r="C3" t="s">
        <v>323</v>
      </c>
    </row>
    <row r="4" spans="2:3" x14ac:dyDescent="0.45">
      <c r="B4">
        <v>0.5</v>
      </c>
      <c r="C4" t="s">
        <v>324</v>
      </c>
    </row>
    <row r="5" spans="2:3" x14ac:dyDescent="0.45">
      <c r="B5">
        <v>0.68</v>
      </c>
      <c r="C5" t="s">
        <v>325</v>
      </c>
    </row>
    <row r="6" spans="2:3" x14ac:dyDescent="0.45">
      <c r="B6">
        <v>0.75</v>
      </c>
      <c r="C6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7" sqref="B17"/>
    </sheetView>
  </sheetViews>
  <sheetFormatPr defaultRowHeight="14.25" x14ac:dyDescent="0.45"/>
  <sheetData>
    <row r="1" spans="1:5" x14ac:dyDescent="0.45">
      <c r="A1" t="s">
        <v>12</v>
      </c>
      <c r="B1" t="s">
        <v>13</v>
      </c>
      <c r="C1">
        <v>12</v>
      </c>
      <c r="D1">
        <v>10</v>
      </c>
      <c r="E1">
        <v>13</v>
      </c>
    </row>
    <row r="2" spans="1:5" x14ac:dyDescent="0.45">
      <c r="A2" t="s">
        <v>43</v>
      </c>
      <c r="B2" t="s">
        <v>29</v>
      </c>
      <c r="C2">
        <v>18</v>
      </c>
      <c r="D2">
        <v>16</v>
      </c>
      <c r="E2">
        <v>15</v>
      </c>
    </row>
    <row r="3" spans="1:5" x14ac:dyDescent="0.45">
      <c r="A3" t="s">
        <v>24</v>
      </c>
      <c r="B3" t="s">
        <v>25</v>
      </c>
      <c r="C3">
        <v>12</v>
      </c>
      <c r="D3">
        <v>6</v>
      </c>
      <c r="E3">
        <v>10</v>
      </c>
    </row>
    <row r="4" spans="1:5" x14ac:dyDescent="0.45">
      <c r="A4" t="s">
        <v>6</v>
      </c>
      <c r="B4" t="s">
        <v>7</v>
      </c>
      <c r="C4">
        <v>12</v>
      </c>
      <c r="D4">
        <v>18</v>
      </c>
      <c r="E4">
        <v>13</v>
      </c>
    </row>
    <row r="5" spans="1:5" x14ac:dyDescent="0.45">
      <c r="A5" t="s">
        <v>8</v>
      </c>
      <c r="B5" t="s">
        <v>9</v>
      </c>
      <c r="C5">
        <v>6</v>
      </c>
      <c r="D5">
        <v>14</v>
      </c>
      <c r="E5">
        <v>8</v>
      </c>
    </row>
    <row r="6" spans="1:5" x14ac:dyDescent="0.45">
      <c r="A6" t="s">
        <v>10</v>
      </c>
      <c r="B6" t="s">
        <v>11</v>
      </c>
      <c r="C6">
        <v>5</v>
      </c>
      <c r="D6">
        <v>13</v>
      </c>
      <c r="E6">
        <v>8</v>
      </c>
    </row>
    <row r="7" spans="1:5" x14ac:dyDescent="0.45">
      <c r="A7" t="s">
        <v>4</v>
      </c>
      <c r="B7" t="s">
        <v>5</v>
      </c>
      <c r="C7">
        <v>12</v>
      </c>
      <c r="D7">
        <v>11</v>
      </c>
      <c r="E7">
        <v>13</v>
      </c>
    </row>
    <row r="8" spans="1:5" x14ac:dyDescent="0.45">
      <c r="A8" t="s">
        <v>16</v>
      </c>
      <c r="B8" t="s">
        <v>17</v>
      </c>
      <c r="C8">
        <v>10</v>
      </c>
      <c r="D8">
        <v>13</v>
      </c>
      <c r="E8">
        <v>10</v>
      </c>
    </row>
    <row r="9" spans="1:5" x14ac:dyDescent="0.45">
      <c r="A9" t="s">
        <v>14</v>
      </c>
      <c r="B9" t="s">
        <v>15</v>
      </c>
      <c r="C9">
        <v>4</v>
      </c>
      <c r="D9">
        <v>13</v>
      </c>
      <c r="E9">
        <v>6</v>
      </c>
    </row>
    <row r="10" spans="1:5" x14ac:dyDescent="0.45">
      <c r="A10" t="s">
        <v>22</v>
      </c>
      <c r="B10" t="s">
        <v>23</v>
      </c>
      <c r="C10">
        <v>15</v>
      </c>
      <c r="D10">
        <v>13</v>
      </c>
      <c r="E10">
        <v>16</v>
      </c>
    </row>
    <row r="11" spans="1:5" x14ac:dyDescent="0.45">
      <c r="A11" t="s">
        <v>2</v>
      </c>
      <c r="B11" t="s">
        <v>3</v>
      </c>
      <c r="C11">
        <v>5</v>
      </c>
      <c r="D11">
        <v>10</v>
      </c>
      <c r="E11">
        <v>4</v>
      </c>
    </row>
    <row r="12" spans="1:5" x14ac:dyDescent="0.45">
      <c r="A12" t="s">
        <v>18</v>
      </c>
      <c r="B12" t="s">
        <v>19</v>
      </c>
      <c r="C12">
        <v>5</v>
      </c>
      <c r="D12">
        <v>5</v>
      </c>
      <c r="E12">
        <v>16</v>
      </c>
    </row>
    <row r="13" spans="1:5" x14ac:dyDescent="0.45">
      <c r="A13" t="s">
        <v>20</v>
      </c>
      <c r="B13" t="s">
        <v>21</v>
      </c>
      <c r="C13">
        <v>8</v>
      </c>
      <c r="D13">
        <v>15</v>
      </c>
      <c r="E13">
        <v>14</v>
      </c>
    </row>
    <row r="14" spans="1:5" x14ac:dyDescent="0.45">
      <c r="A14" t="s">
        <v>26</v>
      </c>
      <c r="B14" t="s">
        <v>27</v>
      </c>
      <c r="C14">
        <v>10</v>
      </c>
      <c r="D14">
        <v>8</v>
      </c>
      <c r="E14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25" x14ac:dyDescent="0.45"/>
  <cols>
    <col min="2" max="2" width="18.46484375" customWidth="1"/>
    <col min="3" max="3" width="20.33203125" customWidth="1"/>
    <col min="5" max="5" width="11.46484375" customWidth="1"/>
    <col min="6" max="6" width="17.46484375" customWidth="1"/>
    <col min="7" max="7" width="16.33203125" customWidth="1"/>
  </cols>
  <sheetData>
    <row r="1" spans="1:8" ht="16.5" customHeight="1" thickBot="1" x14ac:dyDescent="0.5">
      <c r="A1" s="9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</row>
    <row r="2" spans="1:8" ht="16.5" customHeight="1" thickBot="1" x14ac:dyDescent="0.5">
      <c r="A2" s="11">
        <v>15</v>
      </c>
      <c r="B2" s="12" t="s">
        <v>52</v>
      </c>
      <c r="C2" s="12" t="s">
        <v>53</v>
      </c>
      <c r="D2" s="12">
        <v>2440</v>
      </c>
      <c r="E2" s="12" t="s">
        <v>54</v>
      </c>
      <c r="F2" s="12" t="s">
        <v>55</v>
      </c>
      <c r="G2" s="12"/>
      <c r="H2" s="13">
        <v>1</v>
      </c>
    </row>
    <row r="3" spans="1:8" ht="16.5" customHeight="1" thickBot="1" x14ac:dyDescent="0.5">
      <c r="A3" s="11">
        <v>3</v>
      </c>
      <c r="B3" s="12" t="s">
        <v>56</v>
      </c>
      <c r="C3" s="12" t="s">
        <v>57</v>
      </c>
      <c r="D3" s="12">
        <v>2440</v>
      </c>
      <c r="E3" s="12" t="s">
        <v>54</v>
      </c>
      <c r="F3" s="12"/>
      <c r="G3" s="12"/>
      <c r="H3" s="13">
        <v>0</v>
      </c>
    </row>
    <row r="4" spans="1:8" ht="16.5" customHeight="1" thickBot="1" x14ac:dyDescent="0.5">
      <c r="A4" s="11">
        <v>10</v>
      </c>
      <c r="B4" s="12" t="s">
        <v>58</v>
      </c>
      <c r="C4" s="12" t="s">
        <v>59</v>
      </c>
      <c r="D4" s="12">
        <v>2400</v>
      </c>
      <c r="E4" s="12" t="s">
        <v>60</v>
      </c>
      <c r="F4" s="12"/>
      <c r="G4" s="12"/>
      <c r="H4" s="13">
        <v>0</v>
      </c>
    </row>
    <row r="5" spans="1:8" ht="16.5" customHeight="1" thickBot="1" x14ac:dyDescent="0.5">
      <c r="A5" s="11">
        <v>12</v>
      </c>
      <c r="B5" s="12" t="s">
        <v>61</v>
      </c>
      <c r="C5" s="12" t="s">
        <v>62</v>
      </c>
      <c r="D5" s="12">
        <v>2400</v>
      </c>
      <c r="E5" s="12" t="s">
        <v>60</v>
      </c>
      <c r="F5" s="12"/>
      <c r="G5" s="12"/>
      <c r="H5" s="13">
        <v>1</v>
      </c>
    </row>
    <row r="6" spans="1:8" ht="16.5" customHeight="1" thickBot="1" x14ac:dyDescent="0.5">
      <c r="A6" s="11">
        <v>11</v>
      </c>
      <c r="B6" s="12" t="s">
        <v>63</v>
      </c>
      <c r="C6" s="12" t="s">
        <v>64</v>
      </c>
      <c r="D6" s="12">
        <v>2440</v>
      </c>
      <c r="E6" s="12" t="s">
        <v>54</v>
      </c>
      <c r="F6" s="12" t="s">
        <v>65</v>
      </c>
      <c r="G6" s="12" t="s">
        <v>66</v>
      </c>
      <c r="H6" s="13">
        <v>1</v>
      </c>
    </row>
    <row r="7" spans="1:8" ht="16.5" customHeight="1" thickBot="1" x14ac:dyDescent="0.5">
      <c r="A7" s="11">
        <v>18</v>
      </c>
      <c r="B7" s="12" t="s">
        <v>67</v>
      </c>
      <c r="C7" s="12" t="s">
        <v>68</v>
      </c>
      <c r="D7" s="12">
        <v>3201</v>
      </c>
      <c r="E7" s="12" t="s">
        <v>69</v>
      </c>
      <c r="F7" s="12" t="s">
        <v>70</v>
      </c>
      <c r="G7" s="12"/>
      <c r="H7" s="13">
        <v>1</v>
      </c>
    </row>
    <row r="8" spans="1:8" ht="16.5" customHeight="1" thickBot="1" x14ac:dyDescent="0.5">
      <c r="A8" s="11">
        <v>19</v>
      </c>
      <c r="B8" s="12" t="s">
        <v>71</v>
      </c>
      <c r="C8" s="12" t="s">
        <v>72</v>
      </c>
      <c r="D8" s="12">
        <v>3582</v>
      </c>
      <c r="E8" s="12" t="s">
        <v>73</v>
      </c>
      <c r="F8" s="12" t="s">
        <v>74</v>
      </c>
      <c r="G8" s="12"/>
      <c r="H8" s="13">
        <v>1</v>
      </c>
    </row>
    <row r="9" spans="1:8" ht="16.5" customHeight="1" thickBot="1" x14ac:dyDescent="0.5">
      <c r="A9" s="11">
        <v>17</v>
      </c>
      <c r="B9" s="12" t="s">
        <v>75</v>
      </c>
      <c r="C9" s="12" t="s">
        <v>76</v>
      </c>
      <c r="D9" s="12">
        <v>2400</v>
      </c>
      <c r="E9" s="12" t="s">
        <v>60</v>
      </c>
      <c r="F9" s="12" t="s">
        <v>77</v>
      </c>
      <c r="G9" s="12"/>
      <c r="H9" s="13">
        <v>1</v>
      </c>
    </row>
    <row r="10" spans="1:8" ht="16.5" customHeight="1" thickBot="1" x14ac:dyDescent="0.5">
      <c r="A10" s="11">
        <v>16</v>
      </c>
      <c r="B10" s="12" t="s">
        <v>78</v>
      </c>
      <c r="C10" s="12" t="s">
        <v>79</v>
      </c>
      <c r="D10" s="12">
        <v>2400</v>
      </c>
      <c r="E10" s="12" t="s">
        <v>60</v>
      </c>
      <c r="F10" s="12" t="s">
        <v>80</v>
      </c>
      <c r="G10" s="12"/>
      <c r="H10" s="13">
        <v>1</v>
      </c>
    </row>
    <row r="11" spans="1:8" ht="16.5" customHeight="1" thickBot="1" x14ac:dyDescent="0.5">
      <c r="A11" s="11">
        <v>8</v>
      </c>
      <c r="B11" s="12" t="s">
        <v>81</v>
      </c>
      <c r="C11" s="12" t="s">
        <v>82</v>
      </c>
      <c r="D11" s="12">
        <v>2440</v>
      </c>
      <c r="E11" s="12" t="s">
        <v>54</v>
      </c>
      <c r="F11" s="12" t="s">
        <v>83</v>
      </c>
      <c r="G11" s="12"/>
      <c r="H11" s="13">
        <v>0</v>
      </c>
    </row>
    <row r="12" spans="1:8" ht="16.5" customHeight="1" thickBot="1" x14ac:dyDescent="0.5">
      <c r="A12" s="11">
        <v>9</v>
      </c>
      <c r="B12" s="12" t="s">
        <v>84</v>
      </c>
      <c r="C12" s="12" t="s">
        <v>85</v>
      </c>
      <c r="D12" s="12">
        <v>2440</v>
      </c>
      <c r="E12" s="12" t="s">
        <v>54</v>
      </c>
      <c r="F12" s="12" t="s">
        <v>86</v>
      </c>
      <c r="G12" s="12"/>
      <c r="H12" s="13">
        <v>0</v>
      </c>
    </row>
    <row r="13" spans="1:8" ht="16.5" customHeight="1" thickBot="1" x14ac:dyDescent="0.5">
      <c r="A13" s="11">
        <v>4</v>
      </c>
      <c r="B13" s="12" t="s">
        <v>87</v>
      </c>
      <c r="C13" s="12" t="s">
        <v>88</v>
      </c>
      <c r="D13" s="12">
        <v>9000</v>
      </c>
      <c r="E13" s="12" t="s">
        <v>89</v>
      </c>
      <c r="F13" s="12" t="s">
        <v>90</v>
      </c>
      <c r="G13" s="12"/>
      <c r="H13" s="13">
        <v>0</v>
      </c>
    </row>
    <row r="14" spans="1:8" ht="16.5" customHeight="1" thickBot="1" x14ac:dyDescent="0.5">
      <c r="A14" s="11">
        <v>6</v>
      </c>
      <c r="B14" s="12" t="s">
        <v>91</v>
      </c>
      <c r="C14" s="12" t="s">
        <v>92</v>
      </c>
      <c r="D14" s="12">
        <v>2490</v>
      </c>
      <c r="E14" s="12" t="s">
        <v>93</v>
      </c>
      <c r="F14" s="12" t="s">
        <v>94</v>
      </c>
      <c r="G14" s="12"/>
      <c r="H14" s="13">
        <v>1</v>
      </c>
    </row>
    <row r="15" spans="1:8" ht="16.5" customHeight="1" thickBot="1" x14ac:dyDescent="0.5">
      <c r="A15" s="11">
        <v>7</v>
      </c>
      <c r="B15" s="12" t="s">
        <v>91</v>
      </c>
      <c r="C15" s="12" t="s">
        <v>95</v>
      </c>
      <c r="D15" s="12">
        <v>2440</v>
      </c>
      <c r="E15" s="12" t="s">
        <v>54</v>
      </c>
      <c r="F15" s="12"/>
      <c r="G15" s="12"/>
      <c r="H15" s="13">
        <v>1</v>
      </c>
    </row>
    <row r="16" spans="1:8" ht="16.5" customHeight="1" thickBot="1" x14ac:dyDescent="0.5">
      <c r="A16" s="11">
        <v>5</v>
      </c>
      <c r="B16" s="12" t="s">
        <v>96</v>
      </c>
      <c r="C16" s="12" t="s">
        <v>97</v>
      </c>
      <c r="D16" s="12">
        <v>2440</v>
      </c>
      <c r="E16" s="12" t="s">
        <v>54</v>
      </c>
      <c r="F16" s="12"/>
      <c r="G16" s="12"/>
      <c r="H16" s="13">
        <v>1</v>
      </c>
    </row>
    <row r="17" spans="1:8" ht="16.5" customHeight="1" thickBot="1" x14ac:dyDescent="0.5">
      <c r="A17" s="11">
        <v>14</v>
      </c>
      <c r="B17" s="12" t="s">
        <v>98</v>
      </c>
      <c r="C17" s="12" t="s">
        <v>99</v>
      </c>
      <c r="D17" s="12">
        <v>2260</v>
      </c>
      <c r="E17" s="12" t="s">
        <v>100</v>
      </c>
      <c r="F17" s="12" t="s">
        <v>101</v>
      </c>
      <c r="G17" s="12"/>
      <c r="H17" s="13">
        <v>1</v>
      </c>
    </row>
    <row r="18" spans="1:8" ht="16.5" customHeight="1" thickBot="1" x14ac:dyDescent="0.5">
      <c r="A18" s="11">
        <v>1</v>
      </c>
      <c r="B18" s="12" t="s">
        <v>102</v>
      </c>
      <c r="C18" s="12" t="s">
        <v>103</v>
      </c>
      <c r="D18" s="12">
        <v>2440</v>
      </c>
      <c r="E18" s="12" t="s">
        <v>54</v>
      </c>
      <c r="F18" s="12" t="s">
        <v>104</v>
      </c>
      <c r="G18" s="12"/>
      <c r="H18" s="13">
        <v>0</v>
      </c>
    </row>
    <row r="19" spans="1:8" ht="16.5" customHeight="1" thickBot="1" x14ac:dyDescent="0.5">
      <c r="A19" s="11">
        <v>13</v>
      </c>
      <c r="B19" s="12" t="s">
        <v>105</v>
      </c>
      <c r="C19" s="12" t="s">
        <v>106</v>
      </c>
      <c r="D19" s="12">
        <v>2440</v>
      </c>
      <c r="E19" s="12" t="s">
        <v>54</v>
      </c>
      <c r="F19" s="12" t="s">
        <v>107</v>
      </c>
      <c r="G19" s="12"/>
      <c r="H19" s="13">
        <v>1</v>
      </c>
    </row>
    <row r="20" spans="1:8" ht="16.5" customHeight="1" thickBot="1" x14ac:dyDescent="0.5">
      <c r="A20" s="11">
        <v>2</v>
      </c>
      <c r="B20" s="12" t="s">
        <v>108</v>
      </c>
      <c r="C20" s="12" t="s">
        <v>109</v>
      </c>
      <c r="D20" s="12">
        <v>1000</v>
      </c>
      <c r="E20" s="12" t="s">
        <v>110</v>
      </c>
      <c r="F20" s="12" t="s">
        <v>111</v>
      </c>
      <c r="G20" s="12" t="s">
        <v>112</v>
      </c>
      <c r="H20" s="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workbookViewId="0">
      <selection activeCell="G57" sqref="G57"/>
    </sheetView>
  </sheetViews>
  <sheetFormatPr defaultRowHeight="14.25" x14ac:dyDescent="0.45"/>
  <cols>
    <col min="1" max="1" width="11" customWidth="1"/>
    <col min="2" max="2" width="20.53125" customWidth="1"/>
    <col min="3" max="3" width="12.33203125" customWidth="1"/>
    <col min="4" max="4" width="14" bestFit="1" customWidth="1"/>
    <col min="6" max="6" width="18.33203125" bestFit="1" customWidth="1"/>
    <col min="7" max="7" width="32.33203125" bestFit="1" customWidth="1"/>
  </cols>
  <sheetData>
    <row r="1" spans="1:7" ht="21" x14ac:dyDescent="0.65">
      <c r="A1" s="14" t="s">
        <v>113</v>
      </c>
      <c r="B1" s="14"/>
      <c r="C1" s="14"/>
      <c r="D1" s="14"/>
      <c r="E1" s="14"/>
      <c r="F1" s="14"/>
      <c r="G1" s="14"/>
    </row>
    <row r="2" spans="1:7" x14ac:dyDescent="0.45">
      <c r="A2" s="15" t="s">
        <v>114</v>
      </c>
      <c r="B2" s="15" t="s">
        <v>115</v>
      </c>
      <c r="C2" s="15" t="s">
        <v>1</v>
      </c>
      <c r="D2" s="15" t="s">
        <v>0</v>
      </c>
      <c r="E2" s="15" t="s">
        <v>116</v>
      </c>
      <c r="F2" s="15" t="s">
        <v>117</v>
      </c>
      <c r="G2" s="15" t="s">
        <v>118</v>
      </c>
    </row>
    <row r="3" spans="1:7" x14ac:dyDescent="0.45">
      <c r="A3" s="16">
        <v>189025</v>
      </c>
      <c r="B3" s="17" t="s">
        <v>315</v>
      </c>
      <c r="C3" s="16" t="s">
        <v>316</v>
      </c>
      <c r="D3" s="16" t="s">
        <v>317</v>
      </c>
      <c r="E3" s="4" t="s">
        <v>302</v>
      </c>
      <c r="F3" s="4"/>
      <c r="G3" s="18" t="s">
        <v>318</v>
      </c>
    </row>
    <row r="4" spans="1:7" x14ac:dyDescent="0.45">
      <c r="A4" s="16">
        <v>196442</v>
      </c>
      <c r="B4" s="17" t="s">
        <v>311</v>
      </c>
      <c r="C4" s="16" t="s">
        <v>312</v>
      </c>
      <c r="D4" s="16" t="s">
        <v>313</v>
      </c>
      <c r="E4" s="4" t="s">
        <v>302</v>
      </c>
      <c r="F4" s="4"/>
      <c r="G4" s="18" t="s">
        <v>314</v>
      </c>
    </row>
    <row r="5" spans="1:7" x14ac:dyDescent="0.45">
      <c r="A5" s="16">
        <v>230866</v>
      </c>
      <c r="B5" s="17" t="s">
        <v>189</v>
      </c>
      <c r="C5" s="16" t="s">
        <v>190</v>
      </c>
      <c r="D5" s="16" t="s">
        <v>191</v>
      </c>
      <c r="E5" s="4" t="s">
        <v>122</v>
      </c>
      <c r="F5" s="4" t="s">
        <v>127</v>
      </c>
      <c r="G5" s="18" t="s">
        <v>192</v>
      </c>
    </row>
    <row r="6" spans="1:7" x14ac:dyDescent="0.45">
      <c r="A6" s="16">
        <v>237197</v>
      </c>
      <c r="B6" s="17" t="s">
        <v>299</v>
      </c>
      <c r="C6" s="16" t="s">
        <v>300</v>
      </c>
      <c r="D6" s="16" t="s">
        <v>301</v>
      </c>
      <c r="E6" s="4" t="s">
        <v>302</v>
      </c>
      <c r="F6" s="4"/>
      <c r="G6" s="18" t="s">
        <v>303</v>
      </c>
    </row>
    <row r="7" spans="1:7" x14ac:dyDescent="0.45">
      <c r="A7" s="16">
        <v>240778</v>
      </c>
      <c r="B7" s="17" t="s">
        <v>255</v>
      </c>
      <c r="C7" s="16" t="s">
        <v>29</v>
      </c>
      <c r="D7" s="16" t="s">
        <v>256</v>
      </c>
      <c r="E7" s="4" t="s">
        <v>199</v>
      </c>
      <c r="F7" s="4" t="s">
        <v>127</v>
      </c>
      <c r="G7" s="18" t="s">
        <v>257</v>
      </c>
    </row>
    <row r="8" spans="1:7" x14ac:dyDescent="0.45">
      <c r="A8" s="4">
        <v>241146</v>
      </c>
      <c r="B8" s="21" t="s">
        <v>229</v>
      </c>
      <c r="C8" s="4" t="s">
        <v>230</v>
      </c>
      <c r="D8" s="4" t="s">
        <v>231</v>
      </c>
      <c r="E8" s="4" t="s">
        <v>199</v>
      </c>
      <c r="F8" s="4"/>
      <c r="G8" s="18" t="s">
        <v>232</v>
      </c>
    </row>
    <row r="9" spans="1:7" x14ac:dyDescent="0.45">
      <c r="A9" s="16">
        <v>243447</v>
      </c>
      <c r="B9" s="17" t="s">
        <v>182</v>
      </c>
      <c r="C9" s="16" t="s">
        <v>183</v>
      </c>
      <c r="D9" s="16" t="s">
        <v>184</v>
      </c>
      <c r="E9" s="4" t="s">
        <v>122</v>
      </c>
      <c r="F9" s="4"/>
      <c r="G9" s="18" t="s">
        <v>185</v>
      </c>
    </row>
    <row r="10" spans="1:7" x14ac:dyDescent="0.45">
      <c r="A10" s="16">
        <v>245184</v>
      </c>
      <c r="B10" s="17" t="s">
        <v>269</v>
      </c>
      <c r="C10" s="16" t="s">
        <v>270</v>
      </c>
      <c r="D10" s="16" t="s">
        <v>271</v>
      </c>
      <c r="E10" s="4" t="s">
        <v>267</v>
      </c>
      <c r="F10" s="4"/>
      <c r="G10" s="18" t="s">
        <v>272</v>
      </c>
    </row>
    <row r="11" spans="1:7" x14ac:dyDescent="0.45">
      <c r="A11" s="16">
        <v>245418</v>
      </c>
      <c r="B11" s="17" t="s">
        <v>119</v>
      </c>
      <c r="C11" s="20" t="s">
        <v>120</v>
      </c>
      <c r="D11" s="20" t="s">
        <v>121</v>
      </c>
      <c r="E11" s="4" t="s">
        <v>122</v>
      </c>
      <c r="F11" s="4"/>
      <c r="G11" s="18" t="s">
        <v>123</v>
      </c>
    </row>
    <row r="12" spans="1:7" x14ac:dyDescent="0.45">
      <c r="A12" s="16">
        <v>245447</v>
      </c>
      <c r="B12" s="17" t="s">
        <v>258</v>
      </c>
      <c r="C12" s="16" t="s">
        <v>259</v>
      </c>
      <c r="D12" s="16" t="s">
        <v>260</v>
      </c>
      <c r="E12" s="4" t="s">
        <v>199</v>
      </c>
      <c r="F12" s="4"/>
      <c r="G12" s="18" t="s">
        <v>261</v>
      </c>
    </row>
    <row r="13" spans="1:7" x14ac:dyDescent="0.45">
      <c r="A13" s="4">
        <v>246030</v>
      </c>
      <c r="B13" s="21" t="s">
        <v>215</v>
      </c>
      <c r="C13" s="4" t="s">
        <v>216</v>
      </c>
      <c r="D13" s="4" t="s">
        <v>217</v>
      </c>
      <c r="E13" s="4" t="s">
        <v>199</v>
      </c>
      <c r="F13" s="4"/>
      <c r="G13" s="18" t="s">
        <v>218</v>
      </c>
    </row>
    <row r="14" spans="1:7" x14ac:dyDescent="0.45">
      <c r="A14" s="16">
        <v>246675</v>
      </c>
      <c r="B14" s="17" t="s">
        <v>304</v>
      </c>
      <c r="C14" s="16" t="s">
        <v>305</v>
      </c>
      <c r="D14" s="16" t="s">
        <v>306</v>
      </c>
      <c r="E14" s="4" t="s">
        <v>302</v>
      </c>
      <c r="F14" s="4"/>
      <c r="G14" s="18" t="s">
        <v>307</v>
      </c>
    </row>
    <row r="15" spans="1:7" x14ac:dyDescent="0.45">
      <c r="A15" s="16">
        <v>247100</v>
      </c>
      <c r="B15" s="17" t="s">
        <v>273</v>
      </c>
      <c r="C15" s="16" t="s">
        <v>274</v>
      </c>
      <c r="D15" s="16" t="s">
        <v>275</v>
      </c>
      <c r="E15" s="4" t="s">
        <v>267</v>
      </c>
      <c r="F15" s="4"/>
      <c r="G15" s="18" t="s">
        <v>276</v>
      </c>
    </row>
    <row r="16" spans="1:7" x14ac:dyDescent="0.45">
      <c r="A16" s="16">
        <v>247301</v>
      </c>
      <c r="B16" s="17" t="s">
        <v>292</v>
      </c>
      <c r="C16" s="16" t="s">
        <v>9</v>
      </c>
      <c r="D16" s="16" t="s">
        <v>293</v>
      </c>
      <c r="E16" s="4" t="s">
        <v>267</v>
      </c>
      <c r="F16" s="4" t="s">
        <v>127</v>
      </c>
      <c r="G16" s="18" t="s">
        <v>294</v>
      </c>
    </row>
    <row r="17" spans="1:7" x14ac:dyDescent="0.45">
      <c r="A17" s="16">
        <v>247499</v>
      </c>
      <c r="B17" s="17" t="s">
        <v>171</v>
      </c>
      <c r="C17" s="16" t="s">
        <v>23</v>
      </c>
      <c r="D17" s="16" t="s">
        <v>172</v>
      </c>
      <c r="E17" s="4" t="s">
        <v>122</v>
      </c>
      <c r="F17" s="4"/>
      <c r="G17" s="18" t="s">
        <v>173</v>
      </c>
    </row>
    <row r="18" spans="1:7" x14ac:dyDescent="0.45">
      <c r="A18" s="16">
        <v>247509</v>
      </c>
      <c r="B18" s="17" t="s">
        <v>133</v>
      </c>
      <c r="C18" s="16" t="s">
        <v>120</v>
      </c>
      <c r="D18" s="16" t="s">
        <v>134</v>
      </c>
      <c r="E18" s="4" t="s">
        <v>122</v>
      </c>
      <c r="F18" s="4"/>
      <c r="G18" s="18" t="s">
        <v>135</v>
      </c>
    </row>
    <row r="19" spans="1:7" x14ac:dyDescent="0.45">
      <c r="A19" s="16">
        <v>247529</v>
      </c>
      <c r="B19" s="17" t="s">
        <v>144</v>
      </c>
      <c r="C19" s="16" t="s">
        <v>9</v>
      </c>
      <c r="D19" s="16" t="s">
        <v>145</v>
      </c>
      <c r="E19" s="4" t="s">
        <v>122</v>
      </c>
      <c r="F19" s="19">
        <v>40909</v>
      </c>
      <c r="G19" s="18" t="s">
        <v>146</v>
      </c>
    </row>
    <row r="20" spans="1:7" x14ac:dyDescent="0.45">
      <c r="A20" s="16">
        <v>247616</v>
      </c>
      <c r="B20" s="17" t="s">
        <v>262</v>
      </c>
      <c r="C20" s="16" t="s">
        <v>183</v>
      </c>
      <c r="D20" s="16" t="s">
        <v>263</v>
      </c>
      <c r="E20" s="4" t="s">
        <v>199</v>
      </c>
      <c r="F20" s="4"/>
      <c r="G20" s="18" t="s">
        <v>264</v>
      </c>
    </row>
    <row r="21" spans="1:7" x14ac:dyDescent="0.45">
      <c r="A21" s="4">
        <v>247925</v>
      </c>
      <c r="B21" s="21" t="s">
        <v>285</v>
      </c>
      <c r="C21" s="4" t="s">
        <v>27</v>
      </c>
      <c r="D21" s="4" t="s">
        <v>286</v>
      </c>
      <c r="E21" s="4" t="s">
        <v>267</v>
      </c>
      <c r="F21" s="4"/>
      <c r="G21" s="18" t="s">
        <v>287</v>
      </c>
    </row>
    <row r="22" spans="1:7" x14ac:dyDescent="0.45">
      <c r="A22" s="16">
        <v>247952</v>
      </c>
      <c r="B22" s="17" t="s">
        <v>178</v>
      </c>
      <c r="C22" s="16" t="s">
        <v>179</v>
      </c>
      <c r="D22" s="16" t="s">
        <v>180</v>
      </c>
      <c r="E22" s="4" t="s">
        <v>122</v>
      </c>
      <c r="F22" s="4" t="s">
        <v>127</v>
      </c>
      <c r="G22" s="18" t="s">
        <v>181</v>
      </c>
    </row>
    <row r="23" spans="1:7" x14ac:dyDescent="0.45">
      <c r="A23" s="22">
        <v>248014</v>
      </c>
      <c r="B23" s="23" t="s">
        <v>295</v>
      </c>
      <c r="C23" s="22" t="s">
        <v>296</v>
      </c>
      <c r="D23" s="22" t="s">
        <v>297</v>
      </c>
      <c r="E23" s="24" t="s">
        <v>267</v>
      </c>
      <c r="F23" s="24"/>
      <c r="G23" s="18" t="s">
        <v>298</v>
      </c>
    </row>
    <row r="24" spans="1:7" x14ac:dyDescent="0.45">
      <c r="A24" s="16">
        <v>248188</v>
      </c>
      <c r="B24" s="17" t="s">
        <v>265</v>
      </c>
      <c r="C24" s="16" t="s">
        <v>21</v>
      </c>
      <c r="D24" s="16" t="s">
        <v>266</v>
      </c>
      <c r="E24" s="4" t="s">
        <v>267</v>
      </c>
      <c r="F24" s="4"/>
      <c r="G24" s="18" t="s">
        <v>268</v>
      </c>
    </row>
    <row r="25" spans="1:7" x14ac:dyDescent="0.45">
      <c r="A25" s="16">
        <v>248965</v>
      </c>
      <c r="B25" s="17" t="s">
        <v>167</v>
      </c>
      <c r="C25" s="16" t="s">
        <v>168</v>
      </c>
      <c r="D25" s="16" t="s">
        <v>169</v>
      </c>
      <c r="E25" s="4" t="s">
        <v>122</v>
      </c>
      <c r="F25" s="4"/>
      <c r="G25" s="18" t="s">
        <v>170</v>
      </c>
    </row>
    <row r="26" spans="1:7" x14ac:dyDescent="0.45">
      <c r="A26" s="16">
        <v>248981</v>
      </c>
      <c r="B26" s="17" t="s">
        <v>140</v>
      </c>
      <c r="C26" s="16" t="s">
        <v>141</v>
      </c>
      <c r="D26" s="16" t="s">
        <v>142</v>
      </c>
      <c r="E26" s="4" t="s">
        <v>122</v>
      </c>
      <c r="F26" s="4"/>
      <c r="G26" s="18" t="s">
        <v>143</v>
      </c>
    </row>
    <row r="27" spans="1:7" x14ac:dyDescent="0.45">
      <c r="A27" s="16">
        <v>249000</v>
      </c>
      <c r="B27" s="17" t="s">
        <v>155</v>
      </c>
      <c r="C27" s="16" t="s">
        <v>156</v>
      </c>
      <c r="D27" s="16" t="s">
        <v>157</v>
      </c>
      <c r="E27" s="4" t="s">
        <v>122</v>
      </c>
      <c r="F27" s="4"/>
      <c r="G27" s="18" t="s">
        <v>158</v>
      </c>
    </row>
    <row r="28" spans="1:7" x14ac:dyDescent="0.45">
      <c r="A28" s="16">
        <v>249246</v>
      </c>
      <c r="B28" s="17" t="s">
        <v>163</v>
      </c>
      <c r="C28" s="16" t="s">
        <v>164</v>
      </c>
      <c r="D28" s="16" t="s">
        <v>165</v>
      </c>
      <c r="E28" s="4" t="s">
        <v>122</v>
      </c>
      <c r="F28" s="4"/>
      <c r="G28" s="18" t="s">
        <v>166</v>
      </c>
    </row>
    <row r="29" spans="1:7" x14ac:dyDescent="0.45">
      <c r="A29" s="16">
        <v>249332</v>
      </c>
      <c r="B29" s="17" t="s">
        <v>236</v>
      </c>
      <c r="C29" s="16" t="s">
        <v>237</v>
      </c>
      <c r="D29" s="16" t="s">
        <v>238</v>
      </c>
      <c r="E29" s="4" t="s">
        <v>199</v>
      </c>
      <c r="F29" s="4"/>
      <c r="G29" s="18" t="s">
        <v>239</v>
      </c>
    </row>
    <row r="30" spans="1:7" x14ac:dyDescent="0.45">
      <c r="A30" s="16">
        <v>249336</v>
      </c>
      <c r="B30" s="17" t="s">
        <v>219</v>
      </c>
      <c r="C30" s="16" t="s">
        <v>220</v>
      </c>
      <c r="D30" s="16" t="s">
        <v>221</v>
      </c>
      <c r="E30" s="4" t="s">
        <v>199</v>
      </c>
      <c r="F30" s="4"/>
      <c r="G30" s="18" t="s">
        <v>222</v>
      </c>
    </row>
    <row r="31" spans="1:7" x14ac:dyDescent="0.45">
      <c r="A31" s="16">
        <v>249368</v>
      </c>
      <c r="B31" s="17" t="s">
        <v>151</v>
      </c>
      <c r="C31" s="16" t="s">
        <v>152</v>
      </c>
      <c r="D31" s="16" t="s">
        <v>153</v>
      </c>
      <c r="E31" s="4" t="s">
        <v>122</v>
      </c>
      <c r="F31" s="4"/>
      <c r="G31" s="18" t="s">
        <v>154</v>
      </c>
    </row>
    <row r="32" spans="1:7" x14ac:dyDescent="0.45">
      <c r="A32" s="16">
        <v>249508</v>
      </c>
      <c r="B32" s="17" t="s">
        <v>201</v>
      </c>
      <c r="C32" s="16" t="s">
        <v>202</v>
      </c>
      <c r="D32" s="16" t="s">
        <v>203</v>
      </c>
      <c r="E32" s="4" t="s">
        <v>199</v>
      </c>
      <c r="F32" s="4"/>
      <c r="G32" s="18" t="s">
        <v>204</v>
      </c>
    </row>
    <row r="33" spans="1:7" x14ac:dyDescent="0.45">
      <c r="A33" s="16">
        <v>249535</v>
      </c>
      <c r="B33" s="17" t="s">
        <v>252</v>
      </c>
      <c r="C33" s="16" t="s">
        <v>152</v>
      </c>
      <c r="D33" s="16" t="s">
        <v>253</v>
      </c>
      <c r="E33" s="4" t="s">
        <v>199</v>
      </c>
      <c r="F33" s="4"/>
      <c r="G33" s="18" t="s">
        <v>254</v>
      </c>
    </row>
    <row r="34" spans="1:7" x14ac:dyDescent="0.45">
      <c r="A34" s="16">
        <v>249538</v>
      </c>
      <c r="B34" s="17" t="s">
        <v>186</v>
      </c>
      <c r="C34" s="16" t="s">
        <v>187</v>
      </c>
      <c r="D34" s="16" t="s">
        <v>184</v>
      </c>
      <c r="E34" s="4" t="s">
        <v>122</v>
      </c>
      <c r="F34" s="4"/>
      <c r="G34" s="18" t="s">
        <v>188</v>
      </c>
    </row>
    <row r="35" spans="1:7" x14ac:dyDescent="0.45">
      <c r="A35" s="16">
        <v>249541</v>
      </c>
      <c r="B35" s="17" t="s">
        <v>197</v>
      </c>
      <c r="C35" s="16" t="s">
        <v>190</v>
      </c>
      <c r="D35" s="16" t="s">
        <v>198</v>
      </c>
      <c r="E35" s="4" t="s">
        <v>199</v>
      </c>
      <c r="F35" s="4"/>
      <c r="G35" s="18" t="s">
        <v>200</v>
      </c>
    </row>
    <row r="36" spans="1:7" x14ac:dyDescent="0.45">
      <c r="A36" s="16">
        <v>249616</v>
      </c>
      <c r="B36" s="17" t="s">
        <v>308</v>
      </c>
      <c r="C36" s="16" t="s">
        <v>309</v>
      </c>
      <c r="D36" s="16" t="s">
        <v>283</v>
      </c>
      <c r="E36" s="4" t="s">
        <v>302</v>
      </c>
      <c r="F36" s="4"/>
      <c r="G36" s="18" t="s">
        <v>310</v>
      </c>
    </row>
    <row r="37" spans="1:7" x14ac:dyDescent="0.45">
      <c r="A37" s="16">
        <v>249631</v>
      </c>
      <c r="B37" s="17" t="s">
        <v>277</v>
      </c>
      <c r="C37" s="16" t="s">
        <v>278</v>
      </c>
      <c r="D37" s="16" t="s">
        <v>279</v>
      </c>
      <c r="E37" s="4" t="s">
        <v>267</v>
      </c>
      <c r="F37" s="4"/>
      <c r="G37" s="18" t="s">
        <v>280</v>
      </c>
    </row>
    <row r="38" spans="1:7" x14ac:dyDescent="0.45">
      <c r="A38" s="4">
        <v>249646</v>
      </c>
      <c r="B38" s="31" t="s">
        <v>124</v>
      </c>
      <c r="C38" s="4" t="s">
        <v>125</v>
      </c>
      <c r="D38" s="4" t="s">
        <v>126</v>
      </c>
      <c r="E38" s="4" t="s">
        <v>122</v>
      </c>
      <c r="F38" s="4" t="s">
        <v>127</v>
      </c>
      <c r="G38" s="18" t="s">
        <v>128</v>
      </c>
    </row>
    <row r="39" spans="1:7" x14ac:dyDescent="0.45">
      <c r="A39" s="16">
        <v>249737</v>
      </c>
      <c r="B39" s="17" t="s">
        <v>159</v>
      </c>
      <c r="C39" s="16" t="s">
        <v>160</v>
      </c>
      <c r="D39" s="16" t="s">
        <v>161</v>
      </c>
      <c r="E39" s="4" t="s">
        <v>122</v>
      </c>
      <c r="F39" s="4"/>
      <c r="G39" s="18" t="s">
        <v>162</v>
      </c>
    </row>
    <row r="40" spans="1:7" x14ac:dyDescent="0.45">
      <c r="A40" s="16">
        <v>249763</v>
      </c>
      <c r="B40" s="17" t="s">
        <v>233</v>
      </c>
      <c r="C40" s="16" t="s">
        <v>29</v>
      </c>
      <c r="D40" s="16" t="s">
        <v>234</v>
      </c>
      <c r="E40" s="4" t="s">
        <v>199</v>
      </c>
      <c r="F40" s="4"/>
      <c r="G40" s="18" t="s">
        <v>235</v>
      </c>
    </row>
    <row r="41" spans="1:7" x14ac:dyDescent="0.45">
      <c r="A41" s="16">
        <v>250000</v>
      </c>
      <c r="B41" s="17" t="s">
        <v>136</v>
      </c>
      <c r="C41" s="16" t="s">
        <v>137</v>
      </c>
      <c r="D41" s="16" t="s">
        <v>138</v>
      </c>
      <c r="E41" s="4" t="s">
        <v>122</v>
      </c>
      <c r="F41" s="4"/>
      <c r="G41" s="18" t="s">
        <v>139</v>
      </c>
    </row>
    <row r="42" spans="1:7" x14ac:dyDescent="0.45">
      <c r="A42" s="16">
        <v>250131</v>
      </c>
      <c r="B42" s="17" t="s">
        <v>147</v>
      </c>
      <c r="C42" s="16" t="s">
        <v>148</v>
      </c>
      <c r="D42" s="16" t="s">
        <v>149</v>
      </c>
      <c r="E42" s="4" t="s">
        <v>122</v>
      </c>
      <c r="F42" s="4"/>
      <c r="G42" s="18" t="s">
        <v>150</v>
      </c>
    </row>
    <row r="43" spans="1:7" x14ac:dyDescent="0.45">
      <c r="A43" s="16">
        <v>250186</v>
      </c>
      <c r="B43" s="17" t="s">
        <v>174</v>
      </c>
      <c r="C43" s="16" t="s">
        <v>175</v>
      </c>
      <c r="D43" s="16" t="s">
        <v>176</v>
      </c>
      <c r="E43" s="4" t="s">
        <v>122</v>
      </c>
      <c r="F43" s="4"/>
      <c r="G43" s="18" t="s">
        <v>177</v>
      </c>
    </row>
    <row r="44" spans="1:7" x14ac:dyDescent="0.45">
      <c r="A44" s="16">
        <v>250189</v>
      </c>
      <c r="B44" s="17" t="s">
        <v>244</v>
      </c>
      <c r="C44" s="16" t="s">
        <v>245</v>
      </c>
      <c r="D44" s="16" t="s">
        <v>246</v>
      </c>
      <c r="E44" s="4" t="s">
        <v>199</v>
      </c>
      <c r="F44" s="4"/>
      <c r="G44" s="18" t="s">
        <v>247</v>
      </c>
    </row>
    <row r="45" spans="1:7" x14ac:dyDescent="0.45">
      <c r="A45" s="16">
        <v>250233</v>
      </c>
      <c r="B45" s="17" t="s">
        <v>205</v>
      </c>
      <c r="C45" s="16" t="s">
        <v>3</v>
      </c>
      <c r="D45" s="16" t="s">
        <v>206</v>
      </c>
      <c r="E45" s="4" t="s">
        <v>199</v>
      </c>
      <c r="F45" s="4"/>
      <c r="G45" s="18" t="s">
        <v>207</v>
      </c>
    </row>
    <row r="46" spans="1:7" x14ac:dyDescent="0.45">
      <c r="A46" s="4">
        <v>250306</v>
      </c>
      <c r="B46" s="21" t="s">
        <v>288</v>
      </c>
      <c r="C46" s="4" t="s">
        <v>289</v>
      </c>
      <c r="D46" s="4" t="s">
        <v>290</v>
      </c>
      <c r="E46" s="4" t="s">
        <v>267</v>
      </c>
      <c r="F46" s="4"/>
      <c r="G46" s="18" t="s">
        <v>291</v>
      </c>
    </row>
    <row r="47" spans="1:7" x14ac:dyDescent="0.45">
      <c r="A47" s="16">
        <v>250392</v>
      </c>
      <c r="B47" s="17" t="s">
        <v>226</v>
      </c>
      <c r="C47" s="16" t="s">
        <v>190</v>
      </c>
      <c r="D47" s="16" t="s">
        <v>227</v>
      </c>
      <c r="E47" s="4" t="s">
        <v>199</v>
      </c>
      <c r="F47" s="4"/>
      <c r="G47" s="18" t="s">
        <v>228</v>
      </c>
    </row>
    <row r="48" spans="1:7" x14ac:dyDescent="0.45">
      <c r="A48" s="16">
        <v>250632</v>
      </c>
      <c r="B48" s="17" t="s">
        <v>208</v>
      </c>
      <c r="C48" s="16" t="s">
        <v>209</v>
      </c>
      <c r="D48" s="16" t="s">
        <v>210</v>
      </c>
      <c r="E48" s="4" t="s">
        <v>199</v>
      </c>
      <c r="F48" s="4"/>
      <c r="G48" s="18" t="s">
        <v>211</v>
      </c>
    </row>
    <row r="49" spans="1:7" x14ac:dyDescent="0.45">
      <c r="A49" s="16">
        <v>250679</v>
      </c>
      <c r="B49" s="17" t="s">
        <v>281</v>
      </c>
      <c r="C49" s="16" t="s">
        <v>282</v>
      </c>
      <c r="D49" s="16" t="s">
        <v>283</v>
      </c>
      <c r="E49" s="4" t="s">
        <v>267</v>
      </c>
      <c r="F49" s="4"/>
      <c r="G49" s="18" t="s">
        <v>284</v>
      </c>
    </row>
    <row r="50" spans="1:7" x14ac:dyDescent="0.45">
      <c r="A50" s="16">
        <v>250746</v>
      </c>
      <c r="B50" s="17" t="s">
        <v>248</v>
      </c>
      <c r="C50" s="16" t="s">
        <v>249</v>
      </c>
      <c r="D50" s="16" t="s">
        <v>250</v>
      </c>
      <c r="E50" s="4" t="s">
        <v>199</v>
      </c>
      <c r="F50" s="4"/>
      <c r="G50" s="18" t="s">
        <v>251</v>
      </c>
    </row>
    <row r="51" spans="1:7" x14ac:dyDescent="0.45">
      <c r="A51" s="16">
        <v>250794</v>
      </c>
      <c r="B51" s="17" t="s">
        <v>193</v>
      </c>
      <c r="C51" s="16" t="s">
        <v>194</v>
      </c>
      <c r="D51" s="16" t="s">
        <v>195</v>
      </c>
      <c r="E51" s="4" t="s">
        <v>122</v>
      </c>
      <c r="F51" s="4"/>
      <c r="G51" s="18" t="s">
        <v>196</v>
      </c>
    </row>
    <row r="52" spans="1:7" x14ac:dyDescent="0.45">
      <c r="A52" s="25">
        <v>250802</v>
      </c>
      <c r="B52" s="26" t="s">
        <v>240</v>
      </c>
      <c r="C52" s="25" t="s">
        <v>241</v>
      </c>
      <c r="D52" s="25" t="s">
        <v>242</v>
      </c>
      <c r="E52" s="27" t="s">
        <v>199</v>
      </c>
      <c r="F52" s="27"/>
      <c r="G52" s="18" t="s">
        <v>243</v>
      </c>
    </row>
    <row r="53" spans="1:7" x14ac:dyDescent="0.45">
      <c r="A53" s="16">
        <v>251088</v>
      </c>
      <c r="B53" s="17" t="s">
        <v>129</v>
      </c>
      <c r="C53" s="16" t="s">
        <v>130</v>
      </c>
      <c r="D53" s="16" t="s">
        <v>131</v>
      </c>
      <c r="E53" s="4" t="s">
        <v>122</v>
      </c>
      <c r="F53" s="4"/>
      <c r="G53" s="18" t="s">
        <v>132</v>
      </c>
    </row>
    <row r="54" spans="1:7" x14ac:dyDescent="0.45">
      <c r="A54" s="16">
        <v>251089</v>
      </c>
      <c r="B54" s="17" t="s">
        <v>212</v>
      </c>
      <c r="C54" s="16" t="s">
        <v>29</v>
      </c>
      <c r="D54" s="16" t="s">
        <v>213</v>
      </c>
      <c r="E54" s="4" t="s">
        <v>199</v>
      </c>
      <c r="F54" s="4"/>
      <c r="G54" s="18" t="s">
        <v>214</v>
      </c>
    </row>
    <row r="55" spans="1:7" x14ac:dyDescent="0.45">
      <c r="A55" s="32">
        <v>251158</v>
      </c>
      <c r="B55" s="17" t="s">
        <v>223</v>
      </c>
      <c r="C55" s="16" t="s">
        <v>187</v>
      </c>
      <c r="D55" s="16" t="s">
        <v>224</v>
      </c>
      <c r="E55" s="4" t="s">
        <v>199</v>
      </c>
      <c r="F55" s="4"/>
      <c r="G55" s="18" t="s">
        <v>225</v>
      </c>
    </row>
  </sheetData>
  <hyperlinks>
    <hyperlink ref="G55" r:id="rId1" xr:uid="{00000000-0004-0000-0300-000000000000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7" ma:contentTypeDescription="Een nieuw document maken." ma:contentTypeScope="" ma:versionID="31b0ea5f246b6c01233a8b66792010ad">
  <xsd:schema xmlns:xsd="http://www.w3.org/2001/XMLSchema" xmlns:xs="http://www.w3.org/2001/XMLSchema" xmlns:p="http://schemas.microsoft.com/office/2006/metadata/properties" xmlns:ns2="1f719afa-2edd-4b23-b78f-b0f2d490afc5" targetNamespace="http://schemas.microsoft.com/office/2006/metadata/properties" ma:root="true" ma:fieldsID="be4d4ee10dfb5e8c551f511c41df34a9" ns2:_="">
    <xsd:import namespace="1f719afa-2edd-4b23-b78f-b0f2d490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492300-58DA-4977-970A-FD607539E9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225D2A-4ABB-4ABC-A113-BF5BEF144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19afa-2edd-4b23-b78f-b0f2d490a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8B31E7-E2C5-4E62-A6D2-B4FDE0272C7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74af489-7008-4bff-a084-b217391ccf65"/>
    <ds:schemaRef ds:uri="c138ab66-5bfc-46aa-a344-809dfec4139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semester1</vt:lpstr>
      <vt:lpstr>semester2</vt:lpstr>
      <vt:lpstr>totaal</vt:lpstr>
      <vt:lpstr>Blad4</vt:lpstr>
      <vt:lpstr>Blad2</vt:lpstr>
      <vt:lpstr>filter1</vt:lpstr>
      <vt:lpstr>filter2</vt:lpstr>
    </vt:vector>
  </TitlesOfParts>
  <Company>K.H.Kempen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Lars Raeymaekers</cp:lastModifiedBy>
  <dcterms:created xsi:type="dcterms:W3CDTF">2012-11-12T17:59:26Z</dcterms:created>
  <dcterms:modified xsi:type="dcterms:W3CDTF">2026-10-02T00:24:04Z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  <property fmtid="{D5CDD505-2E9C-101B-9397-08002B2CF9AE}" pid="3" name="MSIP_Label_c337be75-dfbb-4261-9834-ac247c7dde13_Enabled">
    <vt:lpwstr>true</vt:lpwstr>
  </property>
  <property fmtid="{D5CDD505-2E9C-101B-9397-08002B2CF9AE}" pid="4" name="MSIP_Label_c337be75-dfbb-4261-9834-ac247c7dde13_SetDate">
    <vt:lpwstr>2026-10-02T00:24:04Z</vt:lpwstr>
  </property>
  <property fmtid="{D5CDD505-2E9C-101B-9397-08002B2CF9AE}" pid="5" name="MSIP_Label_c337be75-dfbb-4261-9834-ac247c7dde13_Method">
    <vt:lpwstr>Standard</vt:lpwstr>
  </property>
  <property fmtid="{D5CDD505-2E9C-101B-9397-08002B2CF9AE}" pid="6" name="MSIP_Label_c337be75-dfbb-4261-9834-ac247c7dde13_Name">
    <vt:lpwstr>Algemeen</vt:lpwstr>
  </property>
  <property fmtid="{D5CDD505-2E9C-101B-9397-08002B2CF9AE}" pid="7" name="MSIP_Label_c337be75-dfbb-4261-9834-ac247c7dde13_SiteId">
    <vt:lpwstr>77d33cc5-c9b4-4766-95c7-ed5b515e1cce</vt:lpwstr>
  </property>
  <property fmtid="{D5CDD505-2E9C-101B-9397-08002B2CF9AE}" pid="8" name="MSIP_Label_c337be75-dfbb-4261-9834-ac247c7dde13_ActionId">
    <vt:lpwstr>644465c9-e61b-4ffb-b33b-e22d30ea03ed</vt:lpwstr>
  </property>
  <property fmtid="{D5CDD505-2E9C-101B-9397-08002B2CF9AE}" pid="9" name="MSIP_Label_c337be75-dfbb-4261-9834-ac247c7dde13_ContentBits">
    <vt:lpwstr>0</vt:lpwstr>
  </property>
  <property fmtid="{D5CDD505-2E9C-101B-9397-08002B2CF9AE}" pid="10" name="MSIP_Label_c337be75-dfbb-4261-9834-ac247c7dde13_Tag">
    <vt:lpwstr>10, 3, 0, 1</vt:lpwstr>
  </property>
</Properties>
</file>