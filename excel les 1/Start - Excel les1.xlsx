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masmore365.sharepoint.com/sites/S.SP.T.1scmIct/Gedeelde documenten/General/Excel - Les 1/"/>
    </mc:Choice>
  </mc:AlternateContent>
  <xr:revisionPtr revIDLastSave="54" documentId="11_CD18DE84BEBB0952B8DEE84B392E91D4655D29C0" xr6:coauthVersionLast="47" xr6:coauthVersionMax="47" xr10:uidLastSave="{ADA988AE-80B2-AA45-ADAA-B056117C368B}"/>
  <bookViews>
    <workbookView xWindow="0" yWindow="760" windowWidth="20700" windowHeight="19880" xr2:uid="{00000000-000D-0000-FFFF-FFFF00000000}"/>
  </bookViews>
  <sheets>
    <sheet name="Inleiding" sheetId="3" r:id="rId1"/>
    <sheet name="resultaat" sheetId="6" r:id="rId2"/>
    <sheet name="start" sheetId="1" r:id="rId3"/>
    <sheet name="abs-rel" sheetId="4" r:id="rId4"/>
    <sheet name="functies nesten" sheetId="2" r:id="rId5"/>
  </sheets>
  <externalReferences>
    <externalReference r:id="rId6"/>
  </externalReferences>
  <definedNames>
    <definedName name="graad">[1]graad!$C$2:$D$5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C22" i="6"/>
  <c r="C21" i="6"/>
  <c r="F20" i="6"/>
  <c r="E20" i="6"/>
  <c r="D20" i="6"/>
  <c r="F19" i="6"/>
  <c r="E19" i="6"/>
  <c r="D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20" i="6" l="1"/>
  <c r="G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Veerle Van Doninck</author>
  </authors>
  <commentList>
    <comment ref="C22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Veerle Van Doninck: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Geef een functie in die het laagste punt van Nederlands, Wiskunde en Frans geeft.</t>
        </r>
      </text>
    </comment>
    <comment ref="C23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Veerle Van Doninck: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Geef een functie in die het hoogste punt van Nederlands, Wiskunde en Frans geeft. </t>
        </r>
      </text>
    </comment>
  </commentList>
</comments>
</file>

<file path=xl/sharedStrings.xml><?xml version="1.0" encoding="utf-8"?>
<sst xmlns="http://schemas.openxmlformats.org/spreadsheetml/2006/main" count="102" uniqueCount="71">
  <si>
    <t>Naam</t>
  </si>
  <si>
    <t>Voornaam</t>
  </si>
  <si>
    <t xml:space="preserve">Maers </t>
  </si>
  <si>
    <t>Jasper</t>
  </si>
  <si>
    <t>Jansen</t>
  </si>
  <si>
    <t>Kobe</t>
  </si>
  <si>
    <t>Deman</t>
  </si>
  <si>
    <t>Laurens</t>
  </si>
  <si>
    <t>Dils</t>
  </si>
  <si>
    <t>Katrien</t>
  </si>
  <si>
    <t>Fransen</t>
  </si>
  <si>
    <t>Oliver</t>
  </si>
  <si>
    <t>Alvarez</t>
  </si>
  <si>
    <t>Joery</t>
  </si>
  <si>
    <t>Kenis</t>
  </si>
  <si>
    <t>Ward</t>
  </si>
  <si>
    <t>Kanps</t>
  </si>
  <si>
    <t>Jorien</t>
  </si>
  <si>
    <t>Vandevelde</t>
  </si>
  <si>
    <t>Carolien</t>
  </si>
  <si>
    <t>Vekemans</t>
  </si>
  <si>
    <t>Thomas</t>
  </si>
  <si>
    <t>Kop</t>
  </si>
  <si>
    <t>Dimi</t>
  </si>
  <si>
    <t>Coppens</t>
  </si>
  <si>
    <t>Karen</t>
  </si>
  <si>
    <t>Wilmsen</t>
  </si>
  <si>
    <t>Kevin</t>
  </si>
  <si>
    <t>Bruyneels</t>
  </si>
  <si>
    <t>Yannick</t>
  </si>
  <si>
    <t>Noord</t>
  </si>
  <si>
    <t>Zuid</t>
  </si>
  <si>
    <t>Oost</t>
  </si>
  <si>
    <t>West</t>
  </si>
  <si>
    <t>Totaal</t>
  </si>
  <si>
    <t>Maaltafels</t>
  </si>
  <si>
    <t>Omzet in aantallen</t>
  </si>
  <si>
    <t>klas:</t>
  </si>
  <si>
    <t>1 Balo</t>
  </si>
  <si>
    <t>Periode:</t>
  </si>
  <si>
    <t>Nederlands</t>
  </si>
  <si>
    <t>Wiskunde</t>
  </si>
  <si>
    <t>Frans</t>
  </si>
  <si>
    <t>Nr</t>
  </si>
  <si>
    <t>gemiddelde</t>
  </si>
  <si>
    <t>mediaan</t>
  </si>
  <si>
    <t>aantal studenten:</t>
  </si>
  <si>
    <t>slechtste resultaat:</t>
  </si>
  <si>
    <t>beste resultaat:</t>
  </si>
  <si>
    <t>relatief aandeel</t>
  </si>
  <si>
    <t>Winkel 1</t>
  </si>
  <si>
    <t>Winkel 2</t>
  </si>
  <si>
    <t>Winkel 3</t>
  </si>
  <si>
    <t>januari</t>
  </si>
  <si>
    <t>februari</t>
  </si>
  <si>
    <t>maart</t>
  </si>
  <si>
    <t>april</t>
  </si>
  <si>
    <t>Evaluatie Januari 2017</t>
  </si>
  <si>
    <t>Afgerond gemiddelde:</t>
  </si>
  <si>
    <t>Inhoud van een cel in Excel</t>
  </si>
  <si>
    <t>tekst</t>
  </si>
  <si>
    <t>hallo</t>
  </si>
  <si>
    <t>1-bjh-025</t>
  </si>
  <si>
    <t>Getal</t>
  </si>
  <si>
    <t>Formules</t>
  </si>
  <si>
    <t>Functies</t>
  </si>
  <si>
    <r>
      <t xml:space="preserve">Een cel bevat naast </t>
    </r>
    <r>
      <rPr>
        <b/>
        <i/>
        <sz val="11"/>
        <color rgb="FFFF0000"/>
        <rFont val="Calibri"/>
        <family val="2"/>
        <scheme val="minor"/>
      </rPr>
      <t>Inhoud</t>
    </r>
    <r>
      <rPr>
        <b/>
        <sz val="11"/>
        <color rgb="FFFF0000"/>
        <rFont val="Calibri"/>
        <family val="2"/>
        <scheme val="minor"/>
      </rPr>
      <t xml:space="preserve"> ook </t>
    </r>
    <r>
      <rPr>
        <b/>
        <i/>
        <sz val="11"/>
        <color rgb="FFFF0000"/>
        <rFont val="Calibri"/>
        <family val="2"/>
        <scheme val="minor"/>
      </rPr>
      <t>Opmaak</t>
    </r>
  </si>
  <si>
    <t>Hallo</t>
  </si>
  <si>
    <t>Specifieke opmaak: Getalopmaak</t>
  </si>
  <si>
    <t>Wat gebeurt er met een getal als de kolom smaller wordt?</t>
  </si>
  <si>
    <t>Specifieke getalopmaak: datum en 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</si>
</sst>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9" formatCode="0.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1" fontId="0" fillId="0" borderId="0" xfId="0" applyNumberFormat="1"/>
    <xf numFmtId="0" fontId="1" fillId="0" borderId="0" xfId="0" applyFont="1" applyProtection="1">
      <protection hidden="1"/>
    </xf>
    <xf numFmtId="17" fontId="1" fillId="0" borderId="0" xfId="0" applyNumberFormat="1" applyFont="1" applyProtection="1">
      <protection hidden="1"/>
    </xf>
    <xf numFmtId="0" fontId="0" fillId="0" borderId="0" xfId="0" applyProtection="1">
      <protection hidden="1"/>
    </xf>
    <xf numFmtId="0" fontId="0" fillId="2" borderId="0" xfId="0" applyFill="1" applyAlignment="1" applyProtection="1">
      <alignment textRotation="45"/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11" fontId="0" fillId="0" borderId="5" xfId="0" applyNumberFormat="1" applyBorder="1" applyProtection="1">
      <protection hidden="1"/>
    </xf>
    <xf numFmtId="0" fontId="0" fillId="0" borderId="6" xfId="0" applyBorder="1" applyProtection="1">
      <protection hidden="1"/>
    </xf>
    <xf numFmtId="164" fontId="0" fillId="0" borderId="0" xfId="0" applyNumberFormat="1" applyProtection="1">
      <protection hidden="1"/>
    </xf>
    <xf numFmtId="164" fontId="0" fillId="0" borderId="5" xfId="0" applyNumberFormat="1" applyBorder="1" applyAlignment="1" applyProtection="1">
      <alignment horizontal="right" indent="2"/>
      <protection hidden="1"/>
    </xf>
    <xf numFmtId="1" fontId="0" fillId="0" borderId="5" xfId="0" applyNumberFormat="1" applyBorder="1" applyAlignment="1" applyProtection="1">
      <alignment horizontal="right" indent="2"/>
      <protection hidden="1"/>
    </xf>
    <xf numFmtId="164" fontId="0" fillId="0" borderId="6" xfId="0" applyNumberFormat="1" applyBorder="1" applyAlignment="1" applyProtection="1">
      <alignment horizontal="right" indent="2"/>
      <protection hidden="1"/>
    </xf>
    <xf numFmtId="0" fontId="1" fillId="0" borderId="0" xfId="0" applyFont="1"/>
    <xf numFmtId="0" fontId="0" fillId="3" borderId="0" xfId="0" applyFill="1"/>
    <xf numFmtId="0" fontId="2" fillId="2" borderId="1" xfId="0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6" fillId="0" borderId="0" xfId="0" applyFont="1"/>
    <xf numFmtId="0" fontId="8" fillId="4" borderId="7" xfId="0" applyFont="1" applyFill="1" applyBorder="1" applyAlignment="1">
      <alignment horizontal="center" vertical="center"/>
    </xf>
    <xf numFmtId="43" fontId="0" fillId="0" borderId="0" xfId="1" applyFont="1"/>
    <xf numFmtId="169" fontId="0" fillId="0" borderId="0" xfId="0" applyNumberFormat="1"/>
    <xf numFmtId="14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0096026/Dropbox/cursus%20ICT%201%20BM%20en%20evaluatie/2013-2014%20ICT/Les7%20Excel/resultaat%20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ester2"/>
      <sheetName val="Totaal"/>
      <sheetName val="graad"/>
      <sheetName val="semester1"/>
      <sheetName val="Blad2"/>
      <sheetName val="VZ"/>
      <sheetName val="filter1"/>
      <sheetName val="filter2"/>
    </sheetNames>
    <sheetDataSet>
      <sheetData sheetId="0"/>
      <sheetData sheetId="1"/>
      <sheetData sheetId="2">
        <row r="2">
          <cell r="C2">
            <v>0</v>
          </cell>
          <cell r="D2" t="str">
            <v>onvoldoende</v>
          </cell>
        </row>
        <row r="3">
          <cell r="C3">
            <v>0.5</v>
          </cell>
          <cell r="D3" t="str">
            <v>voldoende</v>
          </cell>
        </row>
        <row r="4">
          <cell r="C4">
            <v>0.68</v>
          </cell>
          <cell r="D4" t="str">
            <v>onderscheiding</v>
          </cell>
        </row>
        <row r="5">
          <cell r="C5">
            <v>0.78</v>
          </cell>
          <cell r="D5" t="str">
            <v>grote onderscheiding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tabSelected="1" zoomScale="138" workbookViewId="0">
      <selection activeCell="C23" sqref="C23"/>
    </sheetView>
  </sheetViews>
  <sheetFormatPr baseColWidth="10" defaultColWidth="8.83203125" defaultRowHeight="15" x14ac:dyDescent="0.2"/>
  <cols>
    <col min="3" max="3" width="21.33203125" customWidth="1"/>
  </cols>
  <sheetData>
    <row r="1" spans="1:3" x14ac:dyDescent="0.2">
      <c r="A1" s="19" t="s">
        <v>59</v>
      </c>
    </row>
    <row r="2" spans="1:3" x14ac:dyDescent="0.2">
      <c r="B2" t="s">
        <v>60</v>
      </c>
      <c r="C2" t="s">
        <v>61</v>
      </c>
    </row>
    <row r="3" spans="1:3" x14ac:dyDescent="0.2">
      <c r="C3" t="s">
        <v>62</v>
      </c>
    </row>
    <row r="5" spans="1:3" x14ac:dyDescent="0.2">
      <c r="B5" t="s">
        <v>63</v>
      </c>
      <c r="C5">
        <v>15</v>
      </c>
    </row>
    <row r="6" spans="1:3" x14ac:dyDescent="0.2">
      <c r="C6">
        <v>35.450000000000003</v>
      </c>
    </row>
    <row r="8" spans="1:3" x14ac:dyDescent="0.2">
      <c r="B8" t="s">
        <v>64</v>
      </c>
    </row>
    <row r="10" spans="1:3" x14ac:dyDescent="0.2">
      <c r="B10" t="s">
        <v>65</v>
      </c>
    </row>
    <row r="12" spans="1:3" ht="16" thickBot="1" x14ac:dyDescent="0.25">
      <c r="A12" s="19" t="s">
        <v>66</v>
      </c>
    </row>
    <row r="13" spans="1:3" ht="51" customHeight="1" thickBot="1" x14ac:dyDescent="0.25">
      <c r="C13" s="20" t="s">
        <v>67</v>
      </c>
    </row>
    <row r="15" spans="1:3" x14ac:dyDescent="0.2">
      <c r="A15" s="19" t="s">
        <v>68</v>
      </c>
    </row>
    <row r="16" spans="1:3" x14ac:dyDescent="0.2">
      <c r="C16">
        <v>1256.1562463400001</v>
      </c>
    </row>
    <row r="17" spans="1:3" x14ac:dyDescent="0.2">
      <c r="C17" s="21">
        <v>1256.1600000000001</v>
      </c>
    </row>
    <row r="18" spans="1:3" x14ac:dyDescent="0.2">
      <c r="C18" s="22">
        <v>1256.1562463400001</v>
      </c>
    </row>
    <row r="19" spans="1:3" x14ac:dyDescent="0.2">
      <c r="C19" s="22"/>
    </row>
    <row r="20" spans="1:3" x14ac:dyDescent="0.2">
      <c r="C20" s="22"/>
    </row>
    <row r="21" spans="1:3" x14ac:dyDescent="0.2">
      <c r="A21" s="19" t="s">
        <v>70</v>
      </c>
      <c r="C21" s="22"/>
    </row>
    <row r="22" spans="1:3" x14ac:dyDescent="0.2">
      <c r="C22" s="23">
        <v>45951</v>
      </c>
    </row>
    <row r="23" spans="1:3" x14ac:dyDescent="0.2">
      <c r="C23" s="22"/>
    </row>
    <row r="25" spans="1:3" x14ac:dyDescent="0.2">
      <c r="A25" s="1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Normal="100" workbookViewId="0">
      <selection activeCell="F41" sqref="F41"/>
    </sheetView>
  </sheetViews>
  <sheetFormatPr baseColWidth="10" defaultColWidth="8.83203125" defaultRowHeight="15" x14ac:dyDescent="0.2"/>
  <cols>
    <col min="1" max="1" width="5" bestFit="1" customWidth="1"/>
    <col min="2" max="2" width="11.6640625" bestFit="1" customWidth="1"/>
    <col min="3" max="3" width="10.1640625" bestFit="1" customWidth="1"/>
    <col min="4" max="8" width="11.5" customWidth="1"/>
  </cols>
  <sheetData>
    <row r="1" spans="1:8" ht="16" thickBot="1" x14ac:dyDescent="0.25">
      <c r="A1" s="2" t="s">
        <v>37</v>
      </c>
      <c r="B1" s="2" t="s">
        <v>38</v>
      </c>
      <c r="C1" s="2"/>
      <c r="D1" s="2" t="s">
        <v>39</v>
      </c>
      <c r="E1" s="2"/>
      <c r="F1" s="3">
        <v>42736</v>
      </c>
      <c r="G1" s="2"/>
      <c r="H1" s="2"/>
    </row>
    <row r="2" spans="1:8" ht="20" thickBot="1" x14ac:dyDescent="0.3">
      <c r="A2" s="16" t="s">
        <v>57</v>
      </c>
      <c r="B2" s="17"/>
      <c r="C2" s="17"/>
      <c r="D2" s="17"/>
      <c r="E2" s="17"/>
      <c r="F2" s="17"/>
      <c r="G2" s="17"/>
      <c r="H2" s="18"/>
    </row>
    <row r="3" spans="1:8" ht="50" x14ac:dyDescent="0.2">
      <c r="A3" s="4"/>
      <c r="B3" s="4"/>
      <c r="C3" s="4"/>
      <c r="D3" s="5" t="s">
        <v>40</v>
      </c>
      <c r="E3" s="5" t="s">
        <v>41</v>
      </c>
      <c r="F3" s="5" t="s">
        <v>42</v>
      </c>
      <c r="G3" s="5" t="s">
        <v>34</v>
      </c>
      <c r="H3" s="4"/>
    </row>
    <row r="4" spans="1:8" ht="16" thickBot="1" x14ac:dyDescent="0.25">
      <c r="A4" s="6" t="s">
        <v>43</v>
      </c>
      <c r="B4" s="6" t="s">
        <v>0</v>
      </c>
      <c r="C4" s="6" t="s">
        <v>1</v>
      </c>
      <c r="D4" s="6">
        <v>20</v>
      </c>
      <c r="E4" s="6">
        <v>20</v>
      </c>
      <c r="F4" s="6">
        <v>20</v>
      </c>
      <c r="G4" s="6">
        <v>60</v>
      </c>
      <c r="H4" s="4"/>
    </row>
    <row r="5" spans="1:8" ht="16" thickTop="1" x14ac:dyDescent="0.2">
      <c r="A5" s="7">
        <v>1</v>
      </c>
      <c r="B5" s="7" t="s">
        <v>12</v>
      </c>
      <c r="C5" s="8" t="s">
        <v>13</v>
      </c>
      <c r="D5" s="11">
        <v>10</v>
      </c>
      <c r="E5" s="11">
        <v>13</v>
      </c>
      <c r="F5" s="11">
        <v>14</v>
      </c>
      <c r="G5" s="12">
        <f>SUM(D5:F5)</f>
        <v>37</v>
      </c>
      <c r="H5" s="4"/>
    </row>
    <row r="6" spans="1:8" x14ac:dyDescent="0.2">
      <c r="A6" s="9">
        <v>2</v>
      </c>
      <c r="B6" s="9" t="s">
        <v>28</v>
      </c>
      <c r="C6" s="9" t="s">
        <v>29</v>
      </c>
      <c r="D6" s="13">
        <v>18</v>
      </c>
      <c r="E6" s="13">
        <v>14</v>
      </c>
      <c r="F6" s="13">
        <v>12</v>
      </c>
      <c r="G6" s="12">
        <f t="shared" ref="G6:G18" si="0">SUM(D6:F6)</f>
        <v>44</v>
      </c>
      <c r="H6" s="4"/>
    </row>
    <row r="7" spans="1:8" x14ac:dyDescent="0.2">
      <c r="A7" s="9">
        <v>3</v>
      </c>
      <c r="B7" s="9" t="s">
        <v>24</v>
      </c>
      <c r="C7" s="9" t="s">
        <v>25</v>
      </c>
      <c r="D7" s="13">
        <v>10</v>
      </c>
      <c r="E7" s="13">
        <v>6</v>
      </c>
      <c r="F7" s="13">
        <v>8</v>
      </c>
      <c r="G7" s="12">
        <f t="shared" si="0"/>
        <v>24</v>
      </c>
      <c r="H7" s="4"/>
    </row>
    <row r="8" spans="1:8" x14ac:dyDescent="0.2">
      <c r="A8" s="9">
        <v>4</v>
      </c>
      <c r="B8" s="9" t="s">
        <v>6</v>
      </c>
      <c r="C8" s="9" t="s">
        <v>7</v>
      </c>
      <c r="D8" s="13">
        <v>10</v>
      </c>
      <c r="E8" s="13">
        <v>19</v>
      </c>
      <c r="F8" s="13">
        <v>12</v>
      </c>
      <c r="G8" s="12">
        <f t="shared" si="0"/>
        <v>41</v>
      </c>
      <c r="H8" s="4"/>
    </row>
    <row r="9" spans="1:8" x14ac:dyDescent="0.2">
      <c r="A9" s="9">
        <v>5</v>
      </c>
      <c r="B9" s="9" t="s">
        <v>8</v>
      </c>
      <c r="C9" s="9" t="s">
        <v>9</v>
      </c>
      <c r="D9" s="13">
        <v>4</v>
      </c>
      <c r="E9" s="13">
        <v>12</v>
      </c>
      <c r="F9" s="13">
        <v>13</v>
      </c>
      <c r="G9" s="12">
        <f t="shared" si="0"/>
        <v>29</v>
      </c>
      <c r="H9" s="4"/>
    </row>
    <row r="10" spans="1:8" x14ac:dyDescent="0.2">
      <c r="A10" s="9">
        <v>6</v>
      </c>
      <c r="B10" s="9" t="s">
        <v>10</v>
      </c>
      <c r="C10" s="9" t="s">
        <v>11</v>
      </c>
      <c r="D10" s="13">
        <v>5</v>
      </c>
      <c r="E10" s="13">
        <v>10</v>
      </c>
      <c r="F10" s="13">
        <v>10</v>
      </c>
      <c r="G10" s="12">
        <f t="shared" si="0"/>
        <v>25</v>
      </c>
      <c r="H10" s="4"/>
    </row>
    <row r="11" spans="1:8" x14ac:dyDescent="0.2">
      <c r="A11" s="9">
        <v>7</v>
      </c>
      <c r="B11" s="9" t="s">
        <v>4</v>
      </c>
      <c r="C11" s="9" t="s">
        <v>5</v>
      </c>
      <c r="D11" s="13">
        <v>12</v>
      </c>
      <c r="E11" s="13">
        <v>10</v>
      </c>
      <c r="F11" s="13">
        <v>10</v>
      </c>
      <c r="G11" s="12">
        <f t="shared" si="0"/>
        <v>32</v>
      </c>
      <c r="H11" s="4"/>
    </row>
    <row r="12" spans="1:8" x14ac:dyDescent="0.2">
      <c r="A12" s="9">
        <v>8</v>
      </c>
      <c r="B12" s="9" t="s">
        <v>16</v>
      </c>
      <c r="C12" s="9" t="s">
        <v>17</v>
      </c>
      <c r="D12" s="13">
        <v>9</v>
      </c>
      <c r="E12" s="13">
        <v>12</v>
      </c>
      <c r="F12" s="13">
        <v>9</v>
      </c>
      <c r="G12" s="12">
        <f t="shared" si="0"/>
        <v>30</v>
      </c>
      <c r="H12" s="4"/>
    </row>
    <row r="13" spans="1:8" x14ac:dyDescent="0.2">
      <c r="A13" s="9">
        <v>9</v>
      </c>
      <c r="B13" s="9" t="s">
        <v>14</v>
      </c>
      <c r="C13" s="9" t="s">
        <v>15</v>
      </c>
      <c r="D13" s="13">
        <v>3</v>
      </c>
      <c r="E13" s="13">
        <v>12</v>
      </c>
      <c r="F13" s="13">
        <v>7</v>
      </c>
      <c r="G13" s="12">
        <f t="shared" si="0"/>
        <v>22</v>
      </c>
      <c r="H13" s="4"/>
    </row>
    <row r="14" spans="1:8" x14ac:dyDescent="0.2">
      <c r="A14" s="9">
        <v>10</v>
      </c>
      <c r="B14" s="9" t="s">
        <v>22</v>
      </c>
      <c r="C14" s="9" t="s">
        <v>23</v>
      </c>
      <c r="D14" s="13">
        <v>9</v>
      </c>
      <c r="E14" s="13">
        <v>14</v>
      </c>
      <c r="F14" s="13">
        <v>12</v>
      </c>
      <c r="G14" s="12">
        <f t="shared" si="0"/>
        <v>35</v>
      </c>
      <c r="H14" s="4"/>
    </row>
    <row r="15" spans="1:8" x14ac:dyDescent="0.2">
      <c r="A15" s="9">
        <v>11</v>
      </c>
      <c r="B15" s="9" t="s">
        <v>2</v>
      </c>
      <c r="C15" s="9" t="s">
        <v>3</v>
      </c>
      <c r="D15" s="13">
        <v>6</v>
      </c>
      <c r="E15" s="13">
        <v>8</v>
      </c>
      <c r="F15" s="13">
        <v>2</v>
      </c>
      <c r="G15" s="12">
        <f t="shared" si="0"/>
        <v>16</v>
      </c>
      <c r="H15" s="4"/>
    </row>
    <row r="16" spans="1:8" x14ac:dyDescent="0.2">
      <c r="A16" s="9">
        <v>12</v>
      </c>
      <c r="B16" s="9" t="s">
        <v>18</v>
      </c>
      <c r="C16" s="9" t="s">
        <v>19</v>
      </c>
      <c r="D16" s="13">
        <v>7</v>
      </c>
      <c r="E16" s="13">
        <v>5</v>
      </c>
      <c r="F16" s="13">
        <v>14</v>
      </c>
      <c r="G16" s="12">
        <f t="shared" si="0"/>
        <v>26</v>
      </c>
      <c r="H16" s="4"/>
    </row>
    <row r="17" spans="1:8" x14ac:dyDescent="0.2">
      <c r="A17" s="9">
        <v>13</v>
      </c>
      <c r="B17" s="9" t="s">
        <v>20</v>
      </c>
      <c r="C17" s="9" t="s">
        <v>21</v>
      </c>
      <c r="D17" s="13">
        <v>9</v>
      </c>
      <c r="E17" s="13">
        <v>14</v>
      </c>
      <c r="F17" s="13">
        <v>12</v>
      </c>
      <c r="G17" s="12">
        <f t="shared" si="0"/>
        <v>35</v>
      </c>
      <c r="H17" s="4"/>
    </row>
    <row r="18" spans="1:8" x14ac:dyDescent="0.2">
      <c r="A18" s="9">
        <v>14</v>
      </c>
      <c r="B18" s="9" t="s">
        <v>26</v>
      </c>
      <c r="C18" s="9" t="s">
        <v>27</v>
      </c>
      <c r="D18" s="13">
        <v>8</v>
      </c>
      <c r="E18" s="13">
        <v>6</v>
      </c>
      <c r="F18" s="13">
        <v>9</v>
      </c>
      <c r="G18" s="12">
        <f t="shared" si="0"/>
        <v>23</v>
      </c>
      <c r="H18" s="4"/>
    </row>
    <row r="19" spans="1:8" x14ac:dyDescent="0.2">
      <c r="A19" s="4"/>
      <c r="B19" s="4"/>
      <c r="C19" s="4"/>
      <c r="D19" s="10">
        <f>AVERAGE(D5:D18)</f>
        <v>8.5714285714285712</v>
      </c>
      <c r="E19" s="10">
        <f t="shared" ref="E19:G19" si="1">AVERAGE(E5:E18)</f>
        <v>11.071428571428571</v>
      </c>
      <c r="F19" s="10">
        <f t="shared" si="1"/>
        <v>10.285714285714286</v>
      </c>
      <c r="G19" s="10">
        <f t="shared" si="1"/>
        <v>29.928571428571427</v>
      </c>
      <c r="H19" s="4" t="s">
        <v>44</v>
      </c>
    </row>
    <row r="20" spans="1:8" x14ac:dyDescent="0.2">
      <c r="A20" s="4"/>
      <c r="B20" s="4"/>
      <c r="C20" s="4"/>
      <c r="D20" s="10">
        <f>MEDIAN(D5:D18)</f>
        <v>9</v>
      </c>
      <c r="E20" s="10">
        <f t="shared" ref="E20:G20" si="2">MEDIAN(E5:E18)</f>
        <v>12</v>
      </c>
      <c r="F20" s="10">
        <f t="shared" si="2"/>
        <v>11</v>
      </c>
      <c r="G20" s="10">
        <f t="shared" si="2"/>
        <v>29.5</v>
      </c>
      <c r="H20" s="4" t="s">
        <v>45</v>
      </c>
    </row>
    <row r="21" spans="1:8" x14ac:dyDescent="0.2">
      <c r="A21" s="4" t="s">
        <v>46</v>
      </c>
      <c r="B21" s="4"/>
      <c r="C21" s="4">
        <f>COUNTA(B5:B18)</f>
        <v>14</v>
      </c>
      <c r="D21" s="4"/>
      <c r="E21" s="4"/>
      <c r="F21" s="4"/>
      <c r="G21" s="4"/>
      <c r="H21" s="4"/>
    </row>
    <row r="22" spans="1:8" x14ac:dyDescent="0.2">
      <c r="A22" s="4" t="s">
        <v>47</v>
      </c>
      <c r="B22" s="4"/>
      <c r="C22" s="10">
        <f>MIN(D5:F18)</f>
        <v>2</v>
      </c>
      <c r="D22" s="4"/>
      <c r="E22" s="4"/>
      <c r="F22" s="4"/>
      <c r="G22" s="4"/>
      <c r="H22" s="4"/>
    </row>
    <row r="23" spans="1:8" x14ac:dyDescent="0.2">
      <c r="A23" s="4" t="s">
        <v>48</v>
      </c>
      <c r="B23" s="4"/>
      <c r="C23" s="10">
        <f>MAX(D5:F18)</f>
        <v>19</v>
      </c>
      <c r="D23" s="4"/>
      <c r="E23" s="4"/>
      <c r="F23" s="4"/>
      <c r="G23" s="4"/>
      <c r="H23" s="4"/>
    </row>
  </sheetData>
  <sheetProtection algorithmName="SHA-512" hashValue="37n+OhNLRPJRWQBXVxUn2/eLB+u8vvr+YolB/mzCtTkkwkYT+Bnc9/MWr0DSsFpGzkIzG7MoH1u50q81HcJ+GQ==" saltValue="oNzDAT5r2XE/YlBhQCb+dA==" spinCount="100000" sheet="1" objects="1" scenarios="1"/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&amp;L&amp;D&amp;RVoornaam Achternaam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C24" sqref="C2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  <c r="C2">
        <v>6</v>
      </c>
      <c r="D2">
        <v>8</v>
      </c>
      <c r="E2">
        <v>2</v>
      </c>
    </row>
    <row r="3" spans="1:5" x14ac:dyDescent="0.2">
      <c r="A3" t="s">
        <v>4</v>
      </c>
      <c r="B3" t="s">
        <v>5</v>
      </c>
      <c r="C3">
        <v>12</v>
      </c>
      <c r="D3">
        <v>10</v>
      </c>
      <c r="E3">
        <v>10</v>
      </c>
    </row>
    <row r="4" spans="1:5" x14ac:dyDescent="0.2">
      <c r="A4" t="s">
        <v>6</v>
      </c>
      <c r="B4" t="s">
        <v>7</v>
      </c>
      <c r="C4">
        <v>10</v>
      </c>
      <c r="D4">
        <v>19</v>
      </c>
      <c r="E4">
        <v>12</v>
      </c>
    </row>
    <row r="5" spans="1:5" x14ac:dyDescent="0.2">
      <c r="A5" t="s">
        <v>8</v>
      </c>
      <c r="B5" t="s">
        <v>9</v>
      </c>
      <c r="C5">
        <v>4</v>
      </c>
      <c r="D5">
        <v>12</v>
      </c>
      <c r="E5">
        <v>13</v>
      </c>
    </row>
    <row r="6" spans="1:5" x14ac:dyDescent="0.2">
      <c r="A6" t="s">
        <v>10</v>
      </c>
      <c r="B6" t="s">
        <v>11</v>
      </c>
      <c r="C6">
        <v>5</v>
      </c>
      <c r="D6">
        <v>10</v>
      </c>
      <c r="E6">
        <v>10</v>
      </c>
    </row>
    <row r="7" spans="1:5" x14ac:dyDescent="0.2">
      <c r="A7" t="s">
        <v>12</v>
      </c>
      <c r="B7" s="1" t="s">
        <v>13</v>
      </c>
      <c r="C7">
        <v>10</v>
      </c>
      <c r="D7">
        <v>13</v>
      </c>
      <c r="E7">
        <v>14</v>
      </c>
    </row>
    <row r="8" spans="1:5" x14ac:dyDescent="0.2">
      <c r="A8" t="s">
        <v>14</v>
      </c>
      <c r="B8" t="s">
        <v>15</v>
      </c>
      <c r="C8">
        <v>3</v>
      </c>
      <c r="D8">
        <v>12</v>
      </c>
      <c r="E8">
        <v>7</v>
      </c>
    </row>
    <row r="9" spans="1:5" x14ac:dyDescent="0.2">
      <c r="A9" t="s">
        <v>16</v>
      </c>
      <c r="B9" t="s">
        <v>17</v>
      </c>
      <c r="C9">
        <v>9</v>
      </c>
      <c r="D9">
        <v>12</v>
      </c>
      <c r="E9">
        <v>9</v>
      </c>
    </row>
    <row r="10" spans="1:5" x14ac:dyDescent="0.2">
      <c r="A10" t="s">
        <v>18</v>
      </c>
      <c r="B10" t="s">
        <v>19</v>
      </c>
      <c r="C10">
        <v>7</v>
      </c>
      <c r="D10">
        <v>5</v>
      </c>
      <c r="E10">
        <v>14</v>
      </c>
    </row>
    <row r="11" spans="1:5" x14ac:dyDescent="0.2">
      <c r="A11" t="s">
        <v>20</v>
      </c>
      <c r="B11" t="s">
        <v>21</v>
      </c>
      <c r="C11">
        <v>9</v>
      </c>
      <c r="D11">
        <v>14</v>
      </c>
      <c r="E11">
        <v>12</v>
      </c>
    </row>
    <row r="12" spans="1:5" x14ac:dyDescent="0.2">
      <c r="A12" t="s">
        <v>22</v>
      </c>
      <c r="B12" t="s">
        <v>23</v>
      </c>
      <c r="C12">
        <v>9</v>
      </c>
      <c r="D12">
        <v>14</v>
      </c>
      <c r="E12">
        <v>12</v>
      </c>
    </row>
    <row r="13" spans="1:5" x14ac:dyDescent="0.2">
      <c r="A13" t="s">
        <v>24</v>
      </c>
      <c r="B13" t="s">
        <v>25</v>
      </c>
      <c r="C13">
        <v>10</v>
      </c>
      <c r="D13">
        <v>6</v>
      </c>
      <c r="E13">
        <v>8</v>
      </c>
    </row>
    <row r="14" spans="1:5" x14ac:dyDescent="0.2">
      <c r="A14" t="s">
        <v>26</v>
      </c>
      <c r="B14" t="s">
        <v>27</v>
      </c>
      <c r="C14">
        <v>8</v>
      </c>
      <c r="D14">
        <v>6</v>
      </c>
      <c r="E14">
        <v>9</v>
      </c>
    </row>
    <row r="15" spans="1:5" x14ac:dyDescent="0.2">
      <c r="A15" t="s">
        <v>28</v>
      </c>
      <c r="B15" t="s">
        <v>29</v>
      </c>
      <c r="C15">
        <v>18</v>
      </c>
      <c r="D15">
        <v>14</v>
      </c>
      <c r="E15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H4" sqref="H4"/>
    </sheetView>
  </sheetViews>
  <sheetFormatPr baseColWidth="10" defaultColWidth="8.83203125" defaultRowHeight="15" x14ac:dyDescent="0.2"/>
  <cols>
    <col min="4" max="4" width="9" customWidth="1"/>
    <col min="5" max="6" width="4.1640625" customWidth="1"/>
    <col min="7" max="7" width="9.1640625" customWidth="1"/>
    <col min="11" max="11" width="9.1640625" customWidth="1"/>
  </cols>
  <sheetData>
    <row r="1" spans="1:12" x14ac:dyDescent="0.2">
      <c r="A1" t="s">
        <v>36</v>
      </c>
      <c r="C1" t="s">
        <v>49</v>
      </c>
      <c r="G1" t="s">
        <v>35</v>
      </c>
    </row>
    <row r="3" spans="1:12" x14ac:dyDescent="0.2">
      <c r="A3" t="s">
        <v>34</v>
      </c>
      <c r="B3" s="15"/>
      <c r="C3" s="15"/>
      <c r="H3">
        <v>1</v>
      </c>
      <c r="I3">
        <v>2</v>
      </c>
      <c r="J3">
        <v>3</v>
      </c>
      <c r="K3">
        <v>4</v>
      </c>
      <c r="L3">
        <v>5</v>
      </c>
    </row>
    <row r="4" spans="1:12" x14ac:dyDescent="0.2">
      <c r="G4">
        <v>1</v>
      </c>
      <c r="H4" s="15"/>
      <c r="I4" s="15"/>
      <c r="J4" s="15"/>
      <c r="K4" s="15"/>
      <c r="L4" s="15"/>
    </row>
    <row r="5" spans="1:12" x14ac:dyDescent="0.2">
      <c r="A5" t="s">
        <v>33</v>
      </c>
      <c r="B5">
        <v>23</v>
      </c>
      <c r="C5" s="15"/>
      <c r="G5">
        <v>2</v>
      </c>
      <c r="H5" s="15"/>
      <c r="I5" s="15"/>
      <c r="J5" s="15"/>
      <c r="K5" s="15"/>
      <c r="L5" s="15"/>
    </row>
    <row r="6" spans="1:12" x14ac:dyDescent="0.2">
      <c r="A6" t="s">
        <v>32</v>
      </c>
      <c r="B6">
        <v>26</v>
      </c>
      <c r="C6" s="15"/>
      <c r="G6">
        <v>3</v>
      </c>
      <c r="H6" s="15"/>
      <c r="I6" s="15"/>
      <c r="J6" s="15"/>
      <c r="K6" s="15"/>
      <c r="L6" s="15"/>
    </row>
    <row r="7" spans="1:12" x14ac:dyDescent="0.2">
      <c r="A7" t="s">
        <v>31</v>
      </c>
      <c r="B7">
        <v>45</v>
      </c>
      <c r="C7" s="15"/>
      <c r="G7">
        <v>4</v>
      </c>
      <c r="H7" s="15"/>
      <c r="I7" s="15"/>
      <c r="J7" s="15"/>
      <c r="K7" s="15"/>
      <c r="L7" s="15"/>
    </row>
    <row r="8" spans="1:12" x14ac:dyDescent="0.2">
      <c r="A8" t="s">
        <v>30</v>
      </c>
      <c r="B8">
        <v>17</v>
      </c>
      <c r="C8" s="15"/>
      <c r="G8">
        <v>5</v>
      </c>
      <c r="H8" s="15"/>
      <c r="I8" s="15"/>
      <c r="J8" s="15"/>
      <c r="K8" s="15"/>
      <c r="L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F4" sqref="F4"/>
    </sheetView>
  </sheetViews>
  <sheetFormatPr baseColWidth="10" defaultColWidth="8.83203125" defaultRowHeight="15" x14ac:dyDescent="0.2"/>
  <sheetData>
    <row r="1" spans="1:8" s="14" customFormat="1" x14ac:dyDescent="0.2">
      <c r="B1" s="14" t="s">
        <v>50</v>
      </c>
      <c r="C1" s="14" t="s">
        <v>51</v>
      </c>
      <c r="D1" s="14" t="s">
        <v>52</v>
      </c>
    </row>
    <row r="2" spans="1:8" x14ac:dyDescent="0.2">
      <c r="A2" t="s">
        <v>53</v>
      </c>
      <c r="B2">
        <v>4850</v>
      </c>
      <c r="C2">
        <v>3890</v>
      </c>
      <c r="D2">
        <v>4180</v>
      </c>
    </row>
    <row r="3" spans="1:8" x14ac:dyDescent="0.2">
      <c r="A3" t="s">
        <v>54</v>
      </c>
      <c r="B3">
        <v>3910</v>
      </c>
      <c r="C3">
        <v>4105</v>
      </c>
      <c r="D3">
        <v>3790</v>
      </c>
    </row>
    <row r="4" spans="1:8" x14ac:dyDescent="0.2">
      <c r="A4" t="s">
        <v>55</v>
      </c>
      <c r="B4">
        <v>3670</v>
      </c>
      <c r="C4">
        <v>3780</v>
      </c>
      <c r="D4">
        <v>3920</v>
      </c>
      <c r="F4" t="s">
        <v>58</v>
      </c>
      <c r="H4" s="15"/>
    </row>
    <row r="5" spans="1:8" x14ac:dyDescent="0.2">
      <c r="A5" t="s">
        <v>56</v>
      </c>
      <c r="B5">
        <v>4140</v>
      </c>
      <c r="C5">
        <v>4270</v>
      </c>
      <c r="D5">
        <v>3950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9afa-2edd-4b23-b78f-b0f2d490afc5">
      <Terms xmlns="http://schemas.microsoft.com/office/infopath/2007/PartnerControls"/>
    </lcf76f155ced4ddcb4097134ff3c332f>
    <TaxCatchAll xmlns="6afbf056-9a0d-4db2-8146-ae3302de25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11" ma:contentTypeDescription="Een nieuw document maken." ma:contentTypeScope="" ma:versionID="adb30ff6bc78e62ecf5b3199ccc48414">
  <xsd:schema xmlns:xsd="http://www.w3.org/2001/XMLSchema" xmlns:xs="http://www.w3.org/2001/XMLSchema" xmlns:p="http://schemas.microsoft.com/office/2006/metadata/properties" xmlns:ns2="1f719afa-2edd-4b23-b78f-b0f2d490afc5" xmlns:ns3="6afbf056-9a0d-4db2-8146-ae3302de251c" targetNamespace="http://schemas.microsoft.com/office/2006/metadata/properties" ma:root="true" ma:fieldsID="1f4dbaacb627d0055d5358554123537c" ns2:_="" ns3:_="">
    <xsd:import namespace="1f719afa-2edd-4b23-b78f-b0f2d490afc5"/>
    <xsd:import namespace="6afbf056-9a0d-4db2-8146-ae3302de2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49b243c3-5758-488d-a165-3d321439e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bf056-9a0d-4db2-8146-ae3302de25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84ce9c-bb23-4898-891e-8793de793c58}" ma:internalName="TaxCatchAll" ma:showField="CatchAllData" ma:web="6afbf056-9a0d-4db2-8146-ae3302de25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D4757-9DA8-4774-86C1-9D49F0BF33EF}">
  <ds:schemaRefs>
    <ds:schemaRef ds:uri="1f719afa-2edd-4b23-b78f-b0f2d490afc5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6afbf056-9a0d-4db2-8146-ae3302de251c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66499EA-2BB7-4C5E-A302-EA27C8D8FC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8571D-5A4E-4E25-B6F4-42808B6FD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Inleiding</vt:lpstr>
      <vt:lpstr>resultaat</vt:lpstr>
      <vt:lpstr>start</vt:lpstr>
      <vt:lpstr>abs-rel</vt:lpstr>
      <vt:lpstr>functies nesten</vt:lpstr>
    </vt:vector>
  </TitlesOfParts>
  <Company>K.H.Kempen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Lars Raeymaekers</cp:lastModifiedBy>
  <dcterms:created xsi:type="dcterms:W3CDTF">2012-11-12T17:59:26Z</dcterms:created>
  <dcterms:modified xsi:type="dcterms:W3CDTF">2025-10-21T07:54:15Z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  <property fmtid="{D5CDD505-2E9C-101B-9397-08002B2CF9AE}" pid="3" name="MSIP_Label_c337be75-dfbb-4261-9834-ac247c7dde13_Enabled">
    <vt:lpwstr>true</vt:lpwstr>
  </property>
  <property fmtid="{D5CDD505-2E9C-101B-9397-08002B2CF9AE}" pid="4" name="MSIP_Label_c337be75-dfbb-4261-9834-ac247c7dde13_SetDate">
    <vt:lpwstr>2025-10-21T07:42:30Z</vt:lpwstr>
  </property>
  <property fmtid="{D5CDD505-2E9C-101B-9397-08002B2CF9AE}" pid="5" name="MSIP_Label_c337be75-dfbb-4261-9834-ac247c7dde13_Method">
    <vt:lpwstr>Standard</vt:lpwstr>
  </property>
  <property fmtid="{D5CDD505-2E9C-101B-9397-08002B2CF9AE}" pid="6" name="MSIP_Label_c337be75-dfbb-4261-9834-ac247c7dde13_Name">
    <vt:lpwstr>Algemeen</vt:lpwstr>
  </property>
  <property fmtid="{D5CDD505-2E9C-101B-9397-08002B2CF9AE}" pid="7" name="MSIP_Label_c337be75-dfbb-4261-9834-ac247c7dde13_SiteId">
    <vt:lpwstr>77d33cc5-c9b4-4766-95c7-ed5b515e1cce</vt:lpwstr>
  </property>
  <property fmtid="{D5CDD505-2E9C-101B-9397-08002B2CF9AE}" pid="8" name="MSIP_Label_c337be75-dfbb-4261-9834-ac247c7dde13_ActionId">
    <vt:lpwstr>ed138320-5c65-4fcf-9b4b-009b4a3dc929</vt:lpwstr>
  </property>
  <property fmtid="{D5CDD505-2E9C-101B-9397-08002B2CF9AE}" pid="9" name="MSIP_Label_c337be75-dfbb-4261-9834-ac247c7dde13_ContentBits">
    <vt:lpwstr>0</vt:lpwstr>
  </property>
  <property fmtid="{D5CDD505-2E9C-101B-9397-08002B2CF9AE}" pid="10" name="MSIP_Label_c337be75-dfbb-4261-9834-ac247c7dde13_Tag">
    <vt:lpwstr>50, 3, 0, 1</vt:lpwstr>
  </property>
  <property fmtid="{D5CDD505-2E9C-101B-9397-08002B2CF9AE}" pid="11" name="MediaServiceImageTags">
    <vt:lpwstr/>
  </property>
</Properties>
</file>