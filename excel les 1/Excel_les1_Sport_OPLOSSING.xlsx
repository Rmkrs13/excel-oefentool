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zoekers (oplossing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Als getal verdwijnt de voorloopnul (14123456). Oplossing: celopmaak 'Tekst' vóór het typen, of begin met een apostrof: '014 12 34 56</t>
        </r>
      </text>
    </comment>
    <comment ref="B8" authorId="0">
      <text>
        <r>
          <rPr>
            <sz val="10"/>
            <rFont val="Arial"/>
            <family val="2"/>
          </rPr>
          <t xml:space="preserve">In de ruwe data stond 42625. Getalnotatie 'Datum' toont 12/09/2016 → een datum is een getal.</t>
        </r>
      </text>
    </comment>
    <comment ref="B24" authorId="0">
      <text>
        <r>
          <rPr>
            <sz val="10"/>
            <rFont val="Arial"/>
            <family val="2"/>
          </rPr>
          <t xml:space="preserve">=AFRONDEN(GEMIDDELDE(B11:B20);0)</t>
        </r>
      </text>
    </comment>
    <comment ref="B28" authorId="0">
      <text>
        <r>
          <rPr>
            <sz val="10"/>
            <rFont val="Arial"/>
            <family val="2"/>
          </rPr>
          <t xml:space="preserve">=B21/$G$21
Absolute verwijzing naar het grote totaal, zodat je de formule naar rechts kunt doortrekken.</t>
        </r>
      </text>
    </comment>
    <comment ref="B34" authorId="0">
      <text>
        <r>
          <rPr>
            <sz val="10"/>
            <rFont val="Arial"/>
            <family val="2"/>
          </rPr>
          <t xml:space="preserve">=B11*B$30
Gemengde verwijzing: de $ vóór het rijnummer houdt de tariefrij vast, de kolom schuift mee.
Één formule, door te trekken over de hele tabel (zoals de maaltafels).</t>
        </r>
      </text>
    </comment>
  </commentList>
</comments>
</file>

<file path=xl/sharedStrings.xml><?xml version="1.0" encoding="utf-8"?>
<sst xmlns="http://schemas.openxmlformats.org/spreadsheetml/2006/main" count="56" uniqueCount="37">
  <si>
    <t xml:space="preserve">Sportcentrum De Schans – bezoekers en omzet seizoen 2025-2026</t>
  </si>
  <si>
    <t xml:space="preserve">Naam</t>
  </si>
  <si>
    <t xml:space="preserve">Sportcentrum De Schans</t>
  </si>
  <si>
    <t xml:space="preserve">Adres</t>
  </si>
  <si>
    <t xml:space="preserve">Parklaan 12</t>
  </si>
  <si>
    <t xml:space="preserve">Postcode</t>
  </si>
  <si>
    <t xml:space="preserve">2300</t>
  </si>
  <si>
    <t xml:space="preserve">Gemeente</t>
  </si>
  <si>
    <t xml:space="preserve">Turnhout</t>
  </si>
  <si>
    <t xml:space="preserve">Telefoon</t>
  </si>
  <si>
    <t xml:space="preserve">014 12 34 56</t>
  </si>
  <si>
    <t xml:space="preserve">Openingsdatum</t>
  </si>
  <si>
    <t xml:space="preserve">Maand</t>
  </si>
  <si>
    <t xml:space="preserve">Sporthal</t>
  </si>
  <si>
    <t xml:space="preserve">Zwembad</t>
  </si>
  <si>
    <t xml:space="preserve">Fitness</t>
  </si>
  <si>
    <t xml:space="preserve">Padel</t>
  </si>
  <si>
    <t xml:space="preserve">Klimmuur</t>
  </si>
  <si>
    <t xml:space="preserve">Totaal</t>
  </si>
  <si>
    <t xml:space="preserve">september</t>
  </si>
  <si>
    <t xml:space="preserve">oktober</t>
  </si>
  <si>
    <t xml:space="preserve">november</t>
  </si>
  <si>
    <t xml:space="preserve">december</t>
  </si>
  <si>
    <t xml:space="preserve">januari</t>
  </si>
  <si>
    <t xml:space="preserve">februari</t>
  </si>
  <si>
    <t xml:space="preserve">maart</t>
  </si>
  <si>
    <t xml:space="preserve">april</t>
  </si>
  <si>
    <t xml:space="preserve">mei</t>
  </si>
  <si>
    <t xml:space="preserve">juni</t>
  </si>
  <si>
    <t xml:space="preserve">Gemiddelde per maand</t>
  </si>
  <si>
    <t xml:space="preserve">Gemiddelde, afgerond (AFRONDEN)</t>
  </si>
  <si>
    <t xml:space="preserve">Mediaan</t>
  </si>
  <si>
    <t xml:space="preserve">Minimum</t>
  </si>
  <si>
    <t xml:space="preserve">Maximum</t>
  </si>
  <si>
    <t xml:space="preserve">Aandeel in totaal aantal bezoekers</t>
  </si>
  <si>
    <t xml:space="preserve">Tarief per bezoek</t>
  </si>
  <si>
    <t xml:space="preserve">Omzet per zaal (aantal bezoekers × tarief)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</si>
</sst>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dd/mm/yyyy"/>
    <numFmt numFmtId="167" formatCode="#,##0"/>
    <numFmt numFmtId="168" formatCode="#,##0.0"/>
    <numFmt numFmtId="169" formatCode="0.0%"/>
    <numFmt numFmtId="170" formatCode="&quot;€ &quot;#,##0.00"/>
    <numFmt numFmtId="171" formatCode="&quot;€ &quot;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>
        <color rgb="FF1F3A5F"/>
      </left>
      <right style="thin">
        <color rgb="FF808080"/>
      </right>
      <top style="medium">
        <color rgb="FF1F3A5F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1F3A5F"/>
      </right>
      <top style="medium">
        <color rgb="FF1F3A5F"/>
      </top>
      <bottom style="thin">
        <color rgb="FF808080"/>
      </bottom>
      <diagonal/>
    </border>
    <border diagonalUp="false" diagonalDown="false">
      <left style="medium">
        <color rgb="FF1F3A5F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1F3A5F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1F3A5F"/>
      </left>
      <right style="thin">
        <color rgb="FF808080"/>
      </right>
      <top style="thin">
        <color rgb="FF808080"/>
      </top>
      <bottom style="medium">
        <color rgb="FF1F3A5F"/>
      </bottom>
      <diagonal/>
    </border>
    <border diagonalUp="false" diagonalDown="false">
      <left style="thin">
        <color rgb="FF808080"/>
      </left>
      <right style="medium">
        <color rgb="FF1F3A5F"/>
      </right>
      <top style="thin">
        <color rgb="FF808080"/>
      </top>
      <bottom style="medium">
        <color rgb="FF1F3A5F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1F3A5F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1F3A5F"/>
      </bottom>
      <diagonal/>
    </border>
    <border diagonalUp="false" diagonalDown="false">
      <left style="medium">
        <color rgb="FF1F3A5F"/>
      </left>
      <right style="thin">
        <color rgb="FF808080"/>
      </right>
      <top style="medium">
        <color rgb="FF1F3A5F"/>
      </top>
      <bottom style="medium">
        <color rgb="FF1F3A5F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1F3A5F"/>
      </top>
      <bottom style="medium">
        <color rgb="FF1F3A5F"/>
      </bottom>
      <diagonal/>
    </border>
    <border diagonalUp="false" diagonalDown="false">
      <left style="thin">
        <color rgb="FF808080"/>
      </left>
      <right style="medium">
        <color rgb="FF1F3A5F"/>
      </right>
      <top style="medium">
        <color rgb="FF1F3A5F"/>
      </top>
      <bottom style="medium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45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1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1</v>
      </c>
      <c r="B3" s="4" t="s">
        <v>2</v>
      </c>
      <c r="C3" s="4"/>
      <c r="D3" s="4"/>
      <c r="E3" s="2"/>
      <c r="F3" s="2"/>
      <c r="G3" s="2"/>
    </row>
    <row r="4" customFormat="false" ht="15" hidden="false" customHeight="false" outlineLevel="0" collapsed="false">
      <c r="A4" s="5" t="s">
        <v>3</v>
      </c>
      <c r="B4" s="6" t="s">
        <v>4</v>
      </c>
      <c r="C4" s="6"/>
      <c r="D4" s="6"/>
      <c r="E4" s="2"/>
      <c r="F4" s="2"/>
      <c r="G4" s="2"/>
    </row>
    <row r="5" customFormat="false" ht="15" hidden="false" customHeight="false" outlineLevel="0" collapsed="false">
      <c r="A5" s="5" t="s">
        <v>5</v>
      </c>
      <c r="B5" s="6" t="s">
        <v>6</v>
      </c>
      <c r="C5" s="6"/>
      <c r="D5" s="6"/>
      <c r="E5" s="2"/>
      <c r="F5" s="2"/>
      <c r="G5" s="2"/>
    </row>
    <row r="6" customFormat="false" ht="15" hidden="false" customHeight="false" outlineLevel="0" collapsed="false">
      <c r="A6" s="5" t="s">
        <v>7</v>
      </c>
      <c r="B6" s="6" t="s">
        <v>8</v>
      </c>
      <c r="C6" s="6"/>
      <c r="D6" s="6"/>
      <c r="E6" s="2"/>
      <c r="F6" s="2"/>
      <c r="G6" s="2"/>
    </row>
    <row r="7" customFormat="false" ht="15" hidden="false" customHeight="false" outlineLevel="0" collapsed="false">
      <c r="A7" s="5" t="s">
        <v>9</v>
      </c>
      <c r="B7" s="6" t="s">
        <v>10</v>
      </c>
      <c r="C7" s="6"/>
      <c r="D7" s="6"/>
      <c r="E7" s="2"/>
      <c r="F7" s="2"/>
      <c r="G7" s="2"/>
    </row>
    <row r="8" customFormat="false" ht="15" hidden="false" customHeight="false" outlineLevel="0" collapsed="false">
      <c r="A8" s="7" t="s">
        <v>11</v>
      </c>
      <c r="B8" s="8" t="n">
        <v>42625</v>
      </c>
      <c r="C8" s="8"/>
      <c r="D8" s="8"/>
      <c r="E8" s="2"/>
      <c r="F8" s="2"/>
      <c r="G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</row>
    <row r="10" customFormat="false" ht="60" hidden="false" customHeight="true" outlineLevel="0" collapsed="false">
      <c r="A10" s="9" t="s">
        <v>12</v>
      </c>
      <c r="B10" s="10" t="s">
        <v>13</v>
      </c>
      <c r="C10" s="10" t="s">
        <v>14</v>
      </c>
      <c r="D10" s="10" t="s">
        <v>15</v>
      </c>
      <c r="E10" s="10" t="s">
        <v>16</v>
      </c>
      <c r="F10" s="10" t="s">
        <v>17</v>
      </c>
      <c r="G10" s="10" t="s">
        <v>18</v>
      </c>
    </row>
    <row r="11" customFormat="false" ht="15" hidden="false" customHeight="false" outlineLevel="0" collapsed="false">
      <c r="A11" s="11" t="s">
        <v>19</v>
      </c>
      <c r="B11" s="12" t="n">
        <v>2845</v>
      </c>
      <c r="C11" s="12" t="n">
        <v>4120</v>
      </c>
      <c r="D11" s="12" t="n">
        <v>3380</v>
      </c>
      <c r="E11" s="12" t="n">
        <v>612</v>
      </c>
      <c r="F11" s="12" t="n">
        <v>905</v>
      </c>
      <c r="G11" s="13" t="n">
        <f aca="false">SUM(B11:F11)</f>
        <v>11862</v>
      </c>
    </row>
    <row r="12" customFormat="false" ht="15" hidden="false" customHeight="false" outlineLevel="0" collapsed="false">
      <c r="A12" s="14" t="s">
        <v>20</v>
      </c>
      <c r="B12" s="15" t="n">
        <v>3120</v>
      </c>
      <c r="C12" s="15" t="n">
        <v>4655</v>
      </c>
      <c r="D12" s="15" t="n">
        <v>3510</v>
      </c>
      <c r="E12" s="15" t="n">
        <v>588</v>
      </c>
      <c r="F12" s="15" t="n">
        <v>1040</v>
      </c>
      <c r="G12" s="16" t="n">
        <f aca="false">SUM(B12:F12)</f>
        <v>12913</v>
      </c>
    </row>
    <row r="13" customFormat="false" ht="15" hidden="false" customHeight="false" outlineLevel="0" collapsed="false">
      <c r="A13" s="14" t="s">
        <v>21</v>
      </c>
      <c r="B13" s="15" t="n">
        <v>3290</v>
      </c>
      <c r="C13" s="15" t="n">
        <v>5210</v>
      </c>
      <c r="D13" s="15" t="n">
        <v>3445</v>
      </c>
      <c r="E13" s="15" t="n">
        <v>540</v>
      </c>
      <c r="F13" s="15" t="n">
        <v>1185</v>
      </c>
      <c r="G13" s="16" t="n">
        <f aca="false">SUM(B13:F13)</f>
        <v>13670</v>
      </c>
    </row>
    <row r="14" customFormat="false" ht="15" hidden="false" customHeight="false" outlineLevel="0" collapsed="false">
      <c r="A14" s="14" t="s">
        <v>22</v>
      </c>
      <c r="B14" s="15" t="n">
        <v>2410</v>
      </c>
      <c r="C14" s="15" t="n">
        <v>4380</v>
      </c>
      <c r="D14" s="15" t="n">
        <v>2960</v>
      </c>
      <c r="E14" s="15" t="n">
        <v>475</v>
      </c>
      <c r="F14" s="15" t="n">
        <v>1230</v>
      </c>
      <c r="G14" s="16" t="n">
        <f aca="false">SUM(B14:F14)</f>
        <v>11455</v>
      </c>
    </row>
    <row r="15" customFormat="false" ht="15" hidden="false" customHeight="false" outlineLevel="0" collapsed="false">
      <c r="A15" s="14" t="s">
        <v>23</v>
      </c>
      <c r="B15" s="15" t="n">
        <v>3350</v>
      </c>
      <c r="C15" s="15" t="n">
        <v>5480</v>
      </c>
      <c r="D15" s="15" t="n">
        <v>4725</v>
      </c>
      <c r="E15" s="15" t="n">
        <v>505</v>
      </c>
      <c r="F15" s="15" t="n">
        <v>1310</v>
      </c>
      <c r="G15" s="16" t="n">
        <f aca="false">SUM(B15:F15)</f>
        <v>15370</v>
      </c>
    </row>
    <row r="16" customFormat="false" ht="15" hidden="false" customHeight="false" outlineLevel="0" collapsed="false">
      <c r="A16" s="14" t="s">
        <v>24</v>
      </c>
      <c r="B16" s="15" t="n">
        <v>3180</v>
      </c>
      <c r="C16" s="15" t="n">
        <v>5025</v>
      </c>
      <c r="D16" s="15" t="n">
        <v>4210</v>
      </c>
      <c r="E16" s="15" t="n">
        <v>530</v>
      </c>
      <c r="F16" s="15" t="n">
        <v>1160</v>
      </c>
      <c r="G16" s="16" t="n">
        <f aca="false">SUM(B16:F16)</f>
        <v>14105</v>
      </c>
    </row>
    <row r="17" customFormat="false" ht="15" hidden="false" customHeight="false" outlineLevel="0" collapsed="false">
      <c r="A17" s="14" t="s">
        <v>25</v>
      </c>
      <c r="B17" s="15" t="n">
        <v>3065</v>
      </c>
      <c r="C17" s="15" t="n">
        <v>4790</v>
      </c>
      <c r="D17" s="15" t="n">
        <v>3895</v>
      </c>
      <c r="E17" s="15" t="n">
        <v>640</v>
      </c>
      <c r="F17" s="15" t="n">
        <v>1020</v>
      </c>
      <c r="G17" s="16" t="n">
        <f aca="false">SUM(B17:F17)</f>
        <v>13410</v>
      </c>
    </row>
    <row r="18" customFormat="false" ht="15" hidden="false" customHeight="false" outlineLevel="0" collapsed="false">
      <c r="A18" s="14" t="s">
        <v>26</v>
      </c>
      <c r="B18" s="15" t="n">
        <v>2730</v>
      </c>
      <c r="C18" s="15" t="n">
        <v>4310</v>
      </c>
      <c r="D18" s="15" t="n">
        <v>3540</v>
      </c>
      <c r="E18" s="15" t="n">
        <v>755</v>
      </c>
      <c r="F18" s="15" t="n">
        <v>860</v>
      </c>
      <c r="G18" s="16" t="n">
        <f aca="false">SUM(B18:F18)</f>
        <v>12195</v>
      </c>
    </row>
    <row r="19" customFormat="false" ht="15" hidden="false" customHeight="false" outlineLevel="0" collapsed="false">
      <c r="A19" s="14" t="s">
        <v>27</v>
      </c>
      <c r="B19" s="15" t="n">
        <v>2295</v>
      </c>
      <c r="C19" s="15" t="n">
        <v>3960</v>
      </c>
      <c r="D19" s="15" t="n">
        <v>3120</v>
      </c>
      <c r="E19" s="15" t="n">
        <v>890</v>
      </c>
      <c r="F19" s="15" t="n">
        <v>715</v>
      </c>
      <c r="G19" s="16" t="n">
        <f aca="false">SUM(B19:F19)</f>
        <v>10980</v>
      </c>
    </row>
    <row r="20" customFormat="false" ht="15" hidden="false" customHeight="false" outlineLevel="0" collapsed="false">
      <c r="A20" s="14" t="s">
        <v>28</v>
      </c>
      <c r="B20" s="15" t="n">
        <v>1920</v>
      </c>
      <c r="C20" s="15" t="n">
        <v>4470</v>
      </c>
      <c r="D20" s="15" t="n">
        <v>2885</v>
      </c>
      <c r="E20" s="15" t="n">
        <v>935</v>
      </c>
      <c r="F20" s="15" t="n">
        <v>640</v>
      </c>
      <c r="G20" s="16" t="n">
        <f aca="false">SUM(B20:F20)</f>
        <v>10850</v>
      </c>
    </row>
    <row r="21" customFormat="false" ht="15" hidden="false" customHeight="false" outlineLevel="0" collapsed="false">
      <c r="A21" s="17" t="s">
        <v>18</v>
      </c>
      <c r="B21" s="18" t="n">
        <f aca="false">SUM(B11:B20)</f>
        <v>28205</v>
      </c>
      <c r="C21" s="18" t="n">
        <f aca="false">SUM(C11:C20)</f>
        <v>46400</v>
      </c>
      <c r="D21" s="18" t="n">
        <f aca="false">SUM(D11:D20)</f>
        <v>35670</v>
      </c>
      <c r="E21" s="18" t="n">
        <f aca="false">SUM(E11:E20)</f>
        <v>6470</v>
      </c>
      <c r="F21" s="18" t="n">
        <f aca="false">SUM(F11:F20)</f>
        <v>10065</v>
      </c>
      <c r="G21" s="19" t="n">
        <f aca="false">SUM(G11:G20)</f>
        <v>126810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3" t="s">
        <v>29</v>
      </c>
      <c r="B23" s="20" t="n">
        <f aca="false">AVERAGE(B11:B20)</f>
        <v>2820.5</v>
      </c>
      <c r="C23" s="20" t="n">
        <f aca="false">AVERAGE(C11:C20)</f>
        <v>4640</v>
      </c>
      <c r="D23" s="20" t="n">
        <f aca="false">AVERAGE(D11:D20)</f>
        <v>3567</v>
      </c>
      <c r="E23" s="20" t="n">
        <f aca="false">AVERAGE(E11:E20)</f>
        <v>647</v>
      </c>
      <c r="F23" s="20" t="n">
        <f aca="false">AVERAGE(F11:F20)</f>
        <v>1006.5</v>
      </c>
      <c r="G23" s="21" t="n">
        <f aca="false">AVERAGE(G11:G20)</f>
        <v>12681</v>
      </c>
    </row>
    <row r="24" customFormat="false" ht="15" hidden="false" customHeight="false" outlineLevel="0" collapsed="false">
      <c r="A24" s="5" t="s">
        <v>30</v>
      </c>
      <c r="B24" s="15" t="n">
        <f aca="false">ROUND(AVERAGE(B11:B20),0)</f>
        <v>2821</v>
      </c>
      <c r="C24" s="15" t="n">
        <f aca="false">ROUND(AVERAGE(C11:C20),0)</f>
        <v>4640</v>
      </c>
      <c r="D24" s="15" t="n">
        <f aca="false">ROUND(AVERAGE(D11:D20),0)</f>
        <v>3567</v>
      </c>
      <c r="E24" s="15" t="n">
        <f aca="false">ROUND(AVERAGE(E11:E20),0)</f>
        <v>647</v>
      </c>
      <c r="F24" s="15" t="n">
        <f aca="false">ROUND(AVERAGE(F11:F20),0)</f>
        <v>1007</v>
      </c>
      <c r="G24" s="22" t="n">
        <f aca="false">ROUND(AVERAGE(G11:G20),0)</f>
        <v>12681</v>
      </c>
    </row>
    <row r="25" customFormat="false" ht="15" hidden="false" customHeight="false" outlineLevel="0" collapsed="false">
      <c r="A25" s="5" t="s">
        <v>31</v>
      </c>
      <c r="B25" s="23" t="n">
        <f aca="false">MEDIAN(B11:B20)</f>
        <v>2955</v>
      </c>
      <c r="C25" s="23" t="n">
        <f aca="false">MEDIAN(C11:C20)</f>
        <v>4562.5</v>
      </c>
      <c r="D25" s="23" t="n">
        <f aca="false">MEDIAN(D11:D20)</f>
        <v>3477.5</v>
      </c>
      <c r="E25" s="23" t="n">
        <f aca="false">MEDIAN(E11:E20)</f>
        <v>600</v>
      </c>
      <c r="F25" s="23" t="n">
        <f aca="false">MEDIAN(F11:F20)</f>
        <v>1030</v>
      </c>
      <c r="G25" s="24" t="n">
        <f aca="false">MEDIAN(G11:G20)</f>
        <v>12554</v>
      </c>
    </row>
    <row r="26" customFormat="false" ht="15" hidden="false" customHeight="false" outlineLevel="0" collapsed="false">
      <c r="A26" s="5" t="s">
        <v>32</v>
      </c>
      <c r="B26" s="15" t="n">
        <f aca="false">MIN(B11:B20)</f>
        <v>1920</v>
      </c>
      <c r="C26" s="15" t="n">
        <f aca="false">MIN(C11:C20)</f>
        <v>3960</v>
      </c>
      <c r="D26" s="15" t="n">
        <f aca="false">MIN(D11:D20)</f>
        <v>2885</v>
      </c>
      <c r="E26" s="15" t="n">
        <f aca="false">MIN(E11:E20)</f>
        <v>475</v>
      </c>
      <c r="F26" s="15" t="n">
        <f aca="false">MIN(F11:F20)</f>
        <v>640</v>
      </c>
      <c r="G26" s="22" t="n">
        <f aca="false">MIN(G11:G20)</f>
        <v>10850</v>
      </c>
    </row>
    <row r="27" customFormat="false" ht="15" hidden="false" customHeight="false" outlineLevel="0" collapsed="false">
      <c r="A27" s="5" t="s">
        <v>33</v>
      </c>
      <c r="B27" s="15" t="n">
        <f aca="false">MAX(B11:B20)</f>
        <v>3350</v>
      </c>
      <c r="C27" s="15" t="n">
        <f aca="false">MAX(C11:C20)</f>
        <v>5480</v>
      </c>
      <c r="D27" s="15" t="n">
        <f aca="false">MAX(D11:D20)</f>
        <v>4725</v>
      </c>
      <c r="E27" s="15" t="n">
        <f aca="false">MAX(E11:E20)</f>
        <v>935</v>
      </c>
      <c r="F27" s="15" t="n">
        <f aca="false">MAX(F11:F20)</f>
        <v>1310</v>
      </c>
      <c r="G27" s="22" t="n">
        <f aca="false">MAX(G11:G20)</f>
        <v>15370</v>
      </c>
    </row>
    <row r="28" customFormat="false" ht="15" hidden="false" customHeight="false" outlineLevel="0" collapsed="false">
      <c r="A28" s="7" t="s">
        <v>34</v>
      </c>
      <c r="B28" s="25" t="n">
        <f aca="false">B21/$G$21</f>
        <v>0.222419367557764</v>
      </c>
      <c r="C28" s="25" t="n">
        <f aca="false">C21/$G$21</f>
        <v>0.365901742764766</v>
      </c>
      <c r="D28" s="25" t="n">
        <f aca="false">D21/$G$21</f>
        <v>0.281286964750414</v>
      </c>
      <c r="E28" s="25" t="n">
        <f aca="false">E21/$G$21</f>
        <v>0.0510212128381043</v>
      </c>
      <c r="F28" s="25" t="n">
        <f aca="false">F21/$G$21</f>
        <v>0.079370712088952</v>
      </c>
      <c r="G28" s="26" t="n">
        <f aca="false">G21/$G$21</f>
        <v>1</v>
      </c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27" t="s">
        <v>35</v>
      </c>
      <c r="B30" s="28" t="n">
        <v>3.5</v>
      </c>
      <c r="C30" s="28" t="n">
        <v>5.2</v>
      </c>
      <c r="D30" s="28" t="n">
        <v>7.95</v>
      </c>
      <c r="E30" s="28" t="n">
        <v>11</v>
      </c>
      <c r="F30" s="29" t="n">
        <v>9.5</v>
      </c>
      <c r="G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</row>
    <row r="32" customFormat="false" ht="15" hidden="false" customHeight="false" outlineLevel="0" collapsed="false">
      <c r="A32" s="30" t="s">
        <v>36</v>
      </c>
      <c r="B32" s="30"/>
      <c r="C32" s="30"/>
      <c r="D32" s="30"/>
      <c r="E32" s="30"/>
      <c r="F32" s="30"/>
      <c r="G32" s="30"/>
    </row>
    <row r="33" customFormat="false" ht="15" hidden="false" customHeight="false" outlineLevel="0" collapsed="false">
      <c r="A33" s="31" t="s">
        <v>12</v>
      </c>
      <c r="B33" s="32" t="s">
        <v>13</v>
      </c>
      <c r="C33" s="32" t="s">
        <v>14</v>
      </c>
      <c r="D33" s="32" t="s">
        <v>15</v>
      </c>
      <c r="E33" s="32" t="s">
        <v>16</v>
      </c>
      <c r="F33" s="32" t="s">
        <v>17</v>
      </c>
      <c r="G33" s="33" t="s">
        <v>18</v>
      </c>
    </row>
    <row r="34" customFormat="false" ht="15" hidden="false" customHeight="false" outlineLevel="0" collapsed="false">
      <c r="A34" s="14" t="s">
        <v>19</v>
      </c>
      <c r="B34" s="34" t="n">
        <f aca="false">B11*B$30</f>
        <v>9957.5</v>
      </c>
      <c r="C34" s="34" t="n">
        <f aca="false">C11*C$30</f>
        <v>21424</v>
      </c>
      <c r="D34" s="34" t="n">
        <f aca="false">D11*D$30</f>
        <v>26871</v>
      </c>
      <c r="E34" s="34" t="n">
        <f aca="false">E11*E$30</f>
        <v>6732</v>
      </c>
      <c r="F34" s="34" t="n">
        <f aca="false">F11*F$30</f>
        <v>8597.5</v>
      </c>
      <c r="G34" s="35" t="n">
        <f aca="false">SUM(B34:F34)</f>
        <v>73582</v>
      </c>
    </row>
    <row r="35" customFormat="false" ht="15" hidden="false" customHeight="false" outlineLevel="0" collapsed="false">
      <c r="A35" s="14" t="s">
        <v>20</v>
      </c>
      <c r="B35" s="34" t="n">
        <f aca="false">B12*B$30</f>
        <v>10920</v>
      </c>
      <c r="C35" s="34" t="n">
        <f aca="false">C12*C$30</f>
        <v>24206</v>
      </c>
      <c r="D35" s="34" t="n">
        <f aca="false">D12*D$30</f>
        <v>27904.5</v>
      </c>
      <c r="E35" s="34" t="n">
        <f aca="false">E12*E$30</f>
        <v>6468</v>
      </c>
      <c r="F35" s="34" t="n">
        <f aca="false">F12*F$30</f>
        <v>9880</v>
      </c>
      <c r="G35" s="35" t="n">
        <f aca="false">SUM(B35:F35)</f>
        <v>79378.5</v>
      </c>
    </row>
    <row r="36" customFormat="false" ht="15" hidden="false" customHeight="false" outlineLevel="0" collapsed="false">
      <c r="A36" s="14" t="s">
        <v>21</v>
      </c>
      <c r="B36" s="34" t="n">
        <f aca="false">B13*B$30</f>
        <v>11515</v>
      </c>
      <c r="C36" s="34" t="n">
        <f aca="false">C13*C$30</f>
        <v>27092</v>
      </c>
      <c r="D36" s="34" t="n">
        <f aca="false">D13*D$30</f>
        <v>27387.75</v>
      </c>
      <c r="E36" s="34" t="n">
        <f aca="false">E13*E$30</f>
        <v>5940</v>
      </c>
      <c r="F36" s="34" t="n">
        <f aca="false">F13*F$30</f>
        <v>11257.5</v>
      </c>
      <c r="G36" s="35" t="n">
        <f aca="false">SUM(B36:F36)</f>
        <v>83192.25</v>
      </c>
    </row>
    <row r="37" customFormat="false" ht="15" hidden="false" customHeight="false" outlineLevel="0" collapsed="false">
      <c r="A37" s="14" t="s">
        <v>22</v>
      </c>
      <c r="B37" s="34" t="n">
        <f aca="false">B14*B$30</f>
        <v>8435</v>
      </c>
      <c r="C37" s="34" t="n">
        <f aca="false">C14*C$30</f>
        <v>22776</v>
      </c>
      <c r="D37" s="34" t="n">
        <f aca="false">D14*D$30</f>
        <v>23532</v>
      </c>
      <c r="E37" s="34" t="n">
        <f aca="false">E14*E$30</f>
        <v>5225</v>
      </c>
      <c r="F37" s="34" t="n">
        <f aca="false">F14*F$30</f>
        <v>11685</v>
      </c>
      <c r="G37" s="35" t="n">
        <f aca="false">SUM(B37:F37)</f>
        <v>71653</v>
      </c>
    </row>
    <row r="38" customFormat="false" ht="15" hidden="false" customHeight="false" outlineLevel="0" collapsed="false">
      <c r="A38" s="14" t="s">
        <v>23</v>
      </c>
      <c r="B38" s="34" t="n">
        <f aca="false">B15*B$30</f>
        <v>11725</v>
      </c>
      <c r="C38" s="34" t="n">
        <f aca="false">C15*C$30</f>
        <v>28496</v>
      </c>
      <c r="D38" s="34" t="n">
        <f aca="false">D15*D$30</f>
        <v>37563.75</v>
      </c>
      <c r="E38" s="34" t="n">
        <f aca="false">E15*E$30</f>
        <v>5555</v>
      </c>
      <c r="F38" s="34" t="n">
        <f aca="false">F15*F$30</f>
        <v>12445</v>
      </c>
      <c r="G38" s="35" t="n">
        <f aca="false">SUM(B38:F38)</f>
        <v>95784.75</v>
      </c>
    </row>
    <row r="39" customFormat="false" ht="15" hidden="false" customHeight="false" outlineLevel="0" collapsed="false">
      <c r="A39" s="14" t="s">
        <v>24</v>
      </c>
      <c r="B39" s="34" t="n">
        <f aca="false">B16*B$30</f>
        <v>11130</v>
      </c>
      <c r="C39" s="34" t="n">
        <f aca="false">C16*C$30</f>
        <v>26130</v>
      </c>
      <c r="D39" s="34" t="n">
        <f aca="false">D16*D$30</f>
        <v>33469.5</v>
      </c>
      <c r="E39" s="34" t="n">
        <f aca="false">E16*E$30</f>
        <v>5830</v>
      </c>
      <c r="F39" s="34" t="n">
        <f aca="false">F16*F$30</f>
        <v>11020</v>
      </c>
      <c r="G39" s="35" t="n">
        <f aca="false">SUM(B39:F39)</f>
        <v>87579.5</v>
      </c>
    </row>
    <row r="40" customFormat="false" ht="15" hidden="false" customHeight="false" outlineLevel="0" collapsed="false">
      <c r="A40" s="14" t="s">
        <v>25</v>
      </c>
      <c r="B40" s="34" t="n">
        <f aca="false">B17*B$30</f>
        <v>10727.5</v>
      </c>
      <c r="C40" s="34" t="n">
        <f aca="false">C17*C$30</f>
        <v>24908</v>
      </c>
      <c r="D40" s="34" t="n">
        <f aca="false">D17*D$30</f>
        <v>30965.25</v>
      </c>
      <c r="E40" s="34" t="n">
        <f aca="false">E17*E$30</f>
        <v>7040</v>
      </c>
      <c r="F40" s="34" t="n">
        <f aca="false">F17*F$30</f>
        <v>9690</v>
      </c>
      <c r="G40" s="35" t="n">
        <f aca="false">SUM(B40:F40)</f>
        <v>83330.75</v>
      </c>
    </row>
    <row r="41" customFormat="false" ht="15" hidden="false" customHeight="false" outlineLevel="0" collapsed="false">
      <c r="A41" s="14" t="s">
        <v>26</v>
      </c>
      <c r="B41" s="34" t="n">
        <f aca="false">B18*B$30</f>
        <v>9555</v>
      </c>
      <c r="C41" s="34" t="n">
        <f aca="false">C18*C$30</f>
        <v>22412</v>
      </c>
      <c r="D41" s="34" t="n">
        <f aca="false">D18*D$30</f>
        <v>28143</v>
      </c>
      <c r="E41" s="34" t="n">
        <f aca="false">E18*E$30</f>
        <v>8305</v>
      </c>
      <c r="F41" s="34" t="n">
        <f aca="false">F18*F$30</f>
        <v>8170</v>
      </c>
      <c r="G41" s="35" t="n">
        <f aca="false">SUM(B41:F41)</f>
        <v>76585</v>
      </c>
    </row>
    <row r="42" customFormat="false" ht="15" hidden="false" customHeight="false" outlineLevel="0" collapsed="false">
      <c r="A42" s="14" t="s">
        <v>27</v>
      </c>
      <c r="B42" s="34" t="n">
        <f aca="false">B19*B$30</f>
        <v>8032.5</v>
      </c>
      <c r="C42" s="34" t="n">
        <f aca="false">C19*C$30</f>
        <v>20592</v>
      </c>
      <c r="D42" s="34" t="n">
        <f aca="false">D19*D$30</f>
        <v>24804</v>
      </c>
      <c r="E42" s="34" t="n">
        <f aca="false">E19*E$30</f>
        <v>9790</v>
      </c>
      <c r="F42" s="34" t="n">
        <f aca="false">F19*F$30</f>
        <v>6792.5</v>
      </c>
      <c r="G42" s="35" t="n">
        <f aca="false">SUM(B42:F42)</f>
        <v>70011</v>
      </c>
    </row>
    <row r="43" customFormat="false" ht="15" hidden="false" customHeight="false" outlineLevel="0" collapsed="false">
      <c r="A43" s="14" t="s">
        <v>28</v>
      </c>
      <c r="B43" s="34" t="n">
        <f aca="false">B20*B$30</f>
        <v>6720</v>
      </c>
      <c r="C43" s="34" t="n">
        <f aca="false">C20*C$30</f>
        <v>23244</v>
      </c>
      <c r="D43" s="34" t="n">
        <f aca="false">D20*D$30</f>
        <v>22935.75</v>
      </c>
      <c r="E43" s="34" t="n">
        <f aca="false">E20*E$30</f>
        <v>10285</v>
      </c>
      <c r="F43" s="34" t="n">
        <f aca="false">F20*F$30</f>
        <v>6080</v>
      </c>
      <c r="G43" s="35" t="n">
        <f aca="false">SUM(B43:F43)</f>
        <v>69264.75</v>
      </c>
    </row>
    <row r="44" customFormat="false" ht="15" hidden="false" customHeight="false" outlineLevel="0" collapsed="false">
      <c r="A44" s="17" t="s">
        <v>18</v>
      </c>
      <c r="B44" s="36" t="n">
        <f aca="false">SUM(B34:B43)</f>
        <v>98717.5</v>
      </c>
      <c r="C44" s="36" t="n">
        <f aca="false">SUM(C34:C43)</f>
        <v>241280</v>
      </c>
      <c r="D44" s="36" t="n">
        <f aca="false">SUM(D34:D43)</f>
        <v>283576.5</v>
      </c>
      <c r="E44" s="36" t="n">
        <f aca="false">SUM(E34:E43)</f>
        <v>71170</v>
      </c>
      <c r="F44" s="36" t="n">
        <f aca="false">SUM(F34:F43)</f>
        <v>95617.5</v>
      </c>
      <c r="G44" s="37" t="n">
        <f aca="false">SUM(G34:G43)</f>
        <v>790361.5</v>
      </c>
    </row>
  </sheetData>
  <mergeCells count="8">
    <mergeCell ref="A1:G1"/>
    <mergeCell ref="B3:D3"/>
    <mergeCell ref="B4:D4"/>
    <mergeCell ref="B5:D5"/>
    <mergeCell ref="B6:D6"/>
    <mergeCell ref="B7:D7"/>
    <mergeCell ref="B8:D8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2026-09-28T12:03:49Z</dcterms:created>
  <dc:creator>openpyxl</dc:creator>
  <dc:description/>
  <dc:language>en-US</dc:language>
  <cp:lastModifiedBy/>
  <dcterms:modified xsi:type="dcterms:W3CDTF">2026-09-28T12:03:49Z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