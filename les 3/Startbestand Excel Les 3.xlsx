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xcel - Les 3\"/>
    </mc:Choice>
  </mc:AlternateContent>
  <xr:revisionPtr revIDLastSave="0" documentId="13_ncr:1_{1454B534-46C7-4AA1-8941-8D786868EB5D}" xr6:coauthVersionLast="47" xr6:coauthVersionMax="47" xr10:uidLastSave="{00000000-0000-0000-0000-000000000000}"/>
  <bookViews>
    <workbookView xWindow="-98" yWindow="-98" windowWidth="38596" windowHeight="21075" activeTab="9" xr2:uid="{873A908F-E4FD-48FF-841F-3B5DDC2DB5FA}"/>
  </bookViews>
  <sheets>
    <sheet name="Als1" sheetId="13" r:id="rId1"/>
    <sheet name="Als2" sheetId="14" r:id="rId2"/>
    <sheet name="Validatie 1" sheetId="15" r:id="rId3"/>
    <sheet name="Validatie 2" sheetId="16" r:id="rId4"/>
    <sheet name="SOM.ALS" sheetId="6" r:id="rId5"/>
    <sheet name="GROOTSTE" sheetId="8" r:id="rId6"/>
    <sheet name="KLEINSTE" sheetId="9" r:id="rId7"/>
    <sheet name="HORIZZOEKEN" sheetId="10" r:id="rId8"/>
    <sheet name="AANTAL.ALS" sheetId="3" r:id="rId9"/>
    <sheet name="GEMIDDELDE.ALS1" sheetId="4" r:id="rId10"/>
    <sheet name="GEMIDDELDE.ALS2" sheetId="5" r:id="rId11"/>
    <sheet name="BET1" sheetId="11" r:id="rId12"/>
    <sheet name="BET2" sheetId="12" r:id="rId13"/>
    <sheet name="Tekstfuncties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F4" i="3"/>
  <c r="F2" i="3"/>
  <c r="C3" i="8"/>
  <c r="D3" i="8"/>
  <c r="E3" i="8"/>
  <c r="F3" i="8"/>
  <c r="G3" i="8"/>
  <c r="H3" i="8"/>
  <c r="I3" i="8"/>
  <c r="B3" i="8"/>
  <c r="F2" i="6"/>
  <c r="C3" i="14" a="1"/>
  <c r="C4" i="14" a="1"/>
  <c r="C5" i="14" a="1"/>
  <c r="C6" i="14" a="1"/>
  <c r="C3" i="13"/>
  <c r="C4" i="13"/>
  <c r="C5" i="13"/>
  <c r="C6" i="13"/>
  <c r="C7" i="13"/>
  <c r="C8" i="13"/>
  <c r="C9" i="13"/>
  <c r="C10" i="13"/>
  <c r="C11" i="13"/>
  <c r="C12" i="13"/>
  <c r="C2" i="13"/>
  <c r="B3" i="13"/>
  <c r="B4" i="13"/>
  <c r="B5" i="13"/>
  <c r="B6" i="13"/>
  <c r="B7" i="13"/>
  <c r="B8" i="13"/>
  <c r="B9" i="13"/>
  <c r="B10" i="13"/>
  <c r="B11" i="13"/>
  <c r="B12" i="13"/>
  <c r="B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<sst xmlns="http://schemas.openxmlformats.org/spreadsheetml/2006/main" count="172" uniqueCount="124">
  <si>
    <t>m</t>
  </si>
  <si>
    <t>de heer</t>
  </si>
  <si>
    <t>v</t>
  </si>
  <si>
    <t>mevrouw</t>
  </si>
  <si>
    <t>Vermeiren</t>
  </si>
  <si>
    <t>Kelly</t>
  </si>
  <si>
    <t>Andries</t>
  </si>
  <si>
    <t>Karin</t>
  </si>
  <si>
    <t>Heymans</t>
  </si>
  <si>
    <t>Bert</t>
  </si>
  <si>
    <t>Luyten</t>
  </si>
  <si>
    <t>Jessica</t>
  </si>
  <si>
    <t>Vorsselmans</t>
  </si>
  <si>
    <t>Tom</t>
  </si>
  <si>
    <t>Sips</t>
  </si>
  <si>
    <t>Greet</t>
  </si>
  <si>
    <t>Verhoeven</t>
  </si>
  <si>
    <t>Pieter</t>
  </si>
  <si>
    <t>Lanoote</t>
  </si>
  <si>
    <t>Kristof</t>
  </si>
  <si>
    <t>Blommaert</t>
  </si>
  <si>
    <t>Cindy</t>
  </si>
  <si>
    <t>Konings</t>
  </si>
  <si>
    <t>Tim</t>
  </si>
  <si>
    <t>Aanspreking</t>
  </si>
  <si>
    <t>E-mail</t>
  </si>
  <si>
    <t>Code</t>
  </si>
  <si>
    <t>Geslacht</t>
  </si>
  <si>
    <t>Achternaam</t>
  </si>
  <si>
    <t>Voornaam</t>
  </si>
  <si>
    <t>Tanja</t>
  </si>
  <si>
    <t>Kristien</t>
  </si>
  <si>
    <t>Jeroen</t>
  </si>
  <si>
    <t>Raf</t>
  </si>
  <si>
    <t>Ingrid</t>
  </si>
  <si>
    <t>Ronald</t>
  </si>
  <si>
    <t>Els</t>
  </si>
  <si>
    <t>Filip</t>
  </si>
  <si>
    <t>Resultaat:</t>
  </si>
  <si>
    <t>vrouw</t>
  </si>
  <si>
    <t>Criterium:</t>
  </si>
  <si>
    <t>Lichaamslengte (cm):</t>
  </si>
  <si>
    <t>man</t>
  </si>
  <si>
    <t>Geslacht:</t>
  </si>
  <si>
    <t>&gt;180</t>
  </si>
  <si>
    <t>&gt;4000</t>
  </si>
  <si>
    <t>Grens:</t>
  </si>
  <si>
    <t>Commissie</t>
  </si>
  <si>
    <t>Verkoopprijs</t>
  </si>
  <si>
    <t>Getallen in volgorde:</t>
  </si>
  <si>
    <t>Rangorde:</t>
  </si>
  <si>
    <t>Getallen:</t>
  </si>
  <si>
    <t>B</t>
  </si>
  <si>
    <t>Korting:</t>
  </si>
  <si>
    <t>F</t>
  </si>
  <si>
    <t>E</t>
  </si>
  <si>
    <t>D</t>
  </si>
  <si>
    <t>C</t>
  </si>
  <si>
    <t>A</t>
  </si>
  <si>
    <t>Code:</t>
  </si>
  <si>
    <t>Maandelijkse betaling (aan het begin van de termijn):</t>
  </si>
  <si>
    <t>Jaarlijkse nominale rente</t>
  </si>
  <si>
    <t>Geleende bedrag</t>
  </si>
  <si>
    <t>Maandelijks te sparen (aan het begin van de termijn):</t>
  </si>
  <si>
    <t>Looptijd in jaren</t>
  </si>
  <si>
    <t>Gewenst kapitaal na 20 jaar</t>
  </si>
  <si>
    <t>Grens 2:</t>
  </si>
  <si>
    <t>Grens 1:</t>
  </si>
  <si>
    <t>Excel 2019 p. 180</t>
  </si>
  <si>
    <t>Excel 2019 p. 184</t>
  </si>
  <si>
    <t>Excel 2019 p. 200</t>
  </si>
  <si>
    <t>Excel 2019 p. 201</t>
  </si>
  <si>
    <t>Excel 2019 p. 190</t>
  </si>
  <si>
    <t>Zet een kruisje in de cellen die binnen de aangegeven grenzen vallen</t>
  </si>
  <si>
    <t>Zet de getallen volgens aangegeven volgorde</t>
  </si>
  <si>
    <t>keuze korting:</t>
  </si>
  <si>
    <t>bepaal de korting aan de hand van de keuzeletter</t>
  </si>
  <si>
    <t>het aantal keer dat deze naam voorkomt</t>
  </si>
  <si>
    <t>Gemiddelde leeftijd:</t>
  </si>
  <si>
    <t>Bereken in B5 de gemiddelde lengte op basis van het criterium in B4</t>
  </si>
  <si>
    <t>Gebruik de Als-functie op drie verschillende manieren</t>
  </si>
  <si>
    <t>2. een Als met gecombineerde logische tests</t>
  </si>
  <si>
    <t>Als 1</t>
  </si>
  <si>
    <t>Als 2</t>
  </si>
  <si>
    <t>Excel 2019 p. 80 - 82</t>
  </si>
  <si>
    <t>Jan</t>
  </si>
  <si>
    <t>Piet</t>
  </si>
  <si>
    <t>Joris</t>
  </si>
  <si>
    <t>Corneel</t>
  </si>
  <si>
    <t>Eindresultaat</t>
  </si>
  <si>
    <t>percentage</t>
  </si>
  <si>
    <t>graad</t>
  </si>
  <si>
    <t>Bepaal de graad van de studenten aan de hand van volgende voorwaarden:</t>
  </si>
  <si>
    <t>minder dan 50%: niet geslaagd</t>
  </si>
  <si>
    <t>v.a. 50% tot 68%: voldoende</t>
  </si>
  <si>
    <t>v.a. 68% tot 75%:  onderscheiding</t>
  </si>
  <si>
    <t>v.a. 75%: grootste onderscheiding</t>
  </si>
  <si>
    <t>Naam 1:</t>
  </si>
  <si>
    <t>An</t>
  </si>
  <si>
    <t>Naam 2:</t>
  </si>
  <si>
    <t>Joop</t>
  </si>
  <si>
    <t>Naam 3:</t>
  </si>
  <si>
    <t>Karima</t>
  </si>
  <si>
    <t>Excel 2019 p. 88</t>
  </si>
  <si>
    <t>Zorg dat je in A1:A5 enkel getallen kan invullen die binnen de grenzen van D1:D2 liggen (de grenzen inbegrepen)</t>
  </si>
  <si>
    <t>Zorg dat er een gepaste melding komt wanneer je iets ingeeft wat niet binnen de grenzen valt</t>
  </si>
  <si>
    <t>Zorg dat je een melding krijgt wanneer je een van de cellen selecteert</t>
  </si>
  <si>
    <t>Excel 2019 p. 89</t>
  </si>
  <si>
    <t>Zorg dat je in A1 enkel kan een onderdeel uit de lijst D1:D3 kan kiezen. Je hoeft verder niets in te stellen</t>
  </si>
  <si>
    <t>TION07</t>
  </si>
  <si>
    <t>tim.konings@firma.com</t>
  </si>
  <si>
    <t>de heer T. Konings</t>
  </si>
  <si>
    <t>Werk D3:F11 uit volgens het voorbeeld in D2:F2</t>
  </si>
  <si>
    <t>Excel 2019 p. 203</t>
  </si>
  <si>
    <t>bereken in F2 de commissie voor alle verkopen boven de 4000</t>
  </si>
  <si>
    <t>Bereken in B6 het maandelijks te betalen bedrag volgens de parameters in A1:B3</t>
  </si>
  <si>
    <t>1. een geneste Als</t>
  </si>
  <si>
    <t>Let op: bij de validatie dien je de cellen te voorzien van dollartekens, bv. $D$1</t>
  </si>
  <si>
    <t>Deze oefening komt overeen met oefening 63 uit Excel 2019. Bekijk daar de concrete instructies</t>
  </si>
  <si>
    <t>Excel 2019 p. 187 (functies) en 190 (oefening)</t>
  </si>
  <si>
    <t>tip: bouw de functies stap voor stap op, probeer niet alles in één keer te doen</t>
  </si>
  <si>
    <t>Schrijf in F4 de zin "het aantal keer dat de naam Kristien voorkomt is 4". Laat Kristien en 4 automatisch verschijnen op basis van F1 en F2</t>
  </si>
  <si>
    <t>Bereken in F2 het aantal keer dat de naam in F1 voorkomt in bereik A1:D3</t>
  </si>
  <si>
    <t>Bereken in B5 het maandelijks te betalen bedrag volgens de parameters in A1:B3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</si>
</sst>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\ #,##0.00;[Red]\-&quot;€&quot;\ #,##0.00"/>
    <numFmt numFmtId="165" formatCode="&quot;€&quot;\ #,##0.00"/>
    <numFmt numFmtId="166" formatCode="&quot;€&quot;\ #,##0"/>
    <numFmt numFmtId="167" formatCode="&quot;€&quot;\ #,##0.00_);[Red]\(&quot;€&quot;\ #,##0.0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/>
    <xf numFmtId="0" fontId="3" fillId="0" borderId="0" xfId="2" applyFont="1"/>
    <xf numFmtId="0" fontId="3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165" fontId="3" fillId="0" borderId="0" xfId="1" applyNumberFormat="1" applyFont="1"/>
    <xf numFmtId="10" fontId="3" fillId="0" borderId="0" xfId="1" applyNumberFormat="1" applyFont="1"/>
    <xf numFmtId="166" fontId="3" fillId="0" borderId="0" xfId="1" applyNumberFormat="1" applyFont="1"/>
    <xf numFmtId="167" fontId="3" fillId="0" borderId="0" xfId="1" applyNumberFormat="1" applyFont="1"/>
    <xf numFmtId="0" fontId="5" fillId="0" borderId="0" xfId="3"/>
    <xf numFmtId="0" fontId="0" fillId="2" borderId="0" xfId="0" applyFill="1"/>
    <xf numFmtId="0" fontId="3" fillId="2" borderId="0" xfId="1" applyFont="1" applyFill="1"/>
    <xf numFmtId="0" fontId="3" fillId="2" borderId="0" xfId="2" applyFont="1" applyFill="1"/>
    <xf numFmtId="9" fontId="0" fillId="0" borderId="0" xfId="0" applyNumberFormat="1" applyAlignment="1">
      <alignment horizontal="center"/>
    </xf>
    <xf numFmtId="164" fontId="3" fillId="2" borderId="0" xfId="1" applyNumberFormat="1" applyFont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</cellXfs>
  <cellStyles count="4">
    <cellStyle name="opgave" xfId="3" xr:uid="{708D4F46-B955-48B7-B9F0-991A89B8C20C}"/>
    <cellStyle name="Standaard" xfId="0" builtinId="0"/>
    <cellStyle name="Standaard 2" xfId="1" xr:uid="{365F0E78-E2AD-4573-BE8B-8BA4046AB913}"/>
    <cellStyle name="Standaard 3" xfId="2" xr:uid="{F1F6B838-1EA5-49C2-914D-4A27ECD9E0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70F1-45EC-45CD-B12C-05A1A61F043A}">
  <dimension ref="A1:E18"/>
  <sheetViews>
    <sheetView showGridLines="0" zoomScale="180" zoomScaleNormal="180" workbookViewId="0">
      <selection activeCell="F11" sqref="F11"/>
    </sheetView>
  </sheetViews>
  <sheetFormatPr defaultColWidth="7.6640625" defaultRowHeight="14.25" x14ac:dyDescent="0.45"/>
  <cols>
    <col min="1" max="5" width="7.6640625" customWidth="1"/>
  </cols>
  <sheetData>
    <row r="1" spans="1:5" x14ac:dyDescent="0.45">
      <c r="B1" s="7" t="s">
        <v>82</v>
      </c>
      <c r="C1" s="7" t="s">
        <v>83</v>
      </c>
    </row>
    <row r="2" spans="1:5" x14ac:dyDescent="0.45">
      <c r="A2">
        <v>133</v>
      </c>
      <c r="B2" s="18" t="str">
        <f>IF(A2&lt;$E$4,"",IF(A2&gt;$E$5,"","x"))</f>
        <v/>
      </c>
      <c r="C2" s="18" t="str">
        <f>IF(AND(A2&gt;=$E$4,A2&lt;=$E$5),"x","")</f>
        <v/>
      </c>
    </row>
    <row r="3" spans="1:5" x14ac:dyDescent="0.45">
      <c r="A3">
        <v>115</v>
      </c>
      <c r="B3" s="18" t="str">
        <f t="shared" ref="B3:B12" si="0">IF(A3&lt;$E$4,"",IF(A3&gt;$E$5,"","x"))</f>
        <v/>
      </c>
      <c r="C3" s="18" t="str">
        <f t="shared" ref="C3:C12" si="1">IF(AND(A3&gt;=$E$4,A3&lt;=$E$5),"x","")</f>
        <v/>
      </c>
    </row>
    <row r="4" spans="1:5" x14ac:dyDescent="0.45">
      <c r="A4">
        <v>282</v>
      </c>
      <c r="B4" s="18" t="str">
        <f t="shared" si="0"/>
        <v>x</v>
      </c>
      <c r="C4" s="18" t="str">
        <f t="shared" si="1"/>
        <v>x</v>
      </c>
      <c r="D4" t="s">
        <v>67</v>
      </c>
      <c r="E4">
        <v>200</v>
      </c>
    </row>
    <row r="5" spans="1:5" x14ac:dyDescent="0.45">
      <c r="A5">
        <v>246</v>
      </c>
      <c r="B5" s="18" t="str">
        <f t="shared" si="0"/>
        <v>x</v>
      </c>
      <c r="C5" s="18" t="str">
        <f t="shared" si="1"/>
        <v>x</v>
      </c>
      <c r="D5" t="s">
        <v>66</v>
      </c>
      <c r="E5">
        <v>300</v>
      </c>
    </row>
    <row r="6" spans="1:5" x14ac:dyDescent="0.45">
      <c r="A6">
        <v>119</v>
      </c>
      <c r="B6" s="18" t="str">
        <f t="shared" si="0"/>
        <v/>
      </c>
      <c r="C6" s="18" t="str">
        <f t="shared" si="1"/>
        <v/>
      </c>
    </row>
    <row r="7" spans="1:5" x14ac:dyDescent="0.45">
      <c r="A7">
        <v>204</v>
      </c>
      <c r="B7" s="18" t="str">
        <f t="shared" si="0"/>
        <v>x</v>
      </c>
      <c r="C7" s="18" t="str">
        <f t="shared" si="1"/>
        <v>x</v>
      </c>
    </row>
    <row r="8" spans="1:5" x14ac:dyDescent="0.45">
      <c r="A8">
        <v>387</v>
      </c>
      <c r="B8" s="18" t="str">
        <f t="shared" si="0"/>
        <v/>
      </c>
      <c r="C8" s="18" t="str">
        <f t="shared" si="1"/>
        <v/>
      </c>
    </row>
    <row r="9" spans="1:5" x14ac:dyDescent="0.45">
      <c r="A9">
        <v>335</v>
      </c>
      <c r="B9" s="18" t="str">
        <f t="shared" si="0"/>
        <v/>
      </c>
      <c r="C9" s="18" t="str">
        <f t="shared" si="1"/>
        <v/>
      </c>
    </row>
    <row r="10" spans="1:5" x14ac:dyDescent="0.45">
      <c r="A10">
        <v>162</v>
      </c>
      <c r="B10" s="18" t="str">
        <f t="shared" si="0"/>
        <v/>
      </c>
      <c r="C10" s="18" t="str">
        <f t="shared" si="1"/>
        <v/>
      </c>
    </row>
    <row r="11" spans="1:5" x14ac:dyDescent="0.45">
      <c r="A11">
        <v>226</v>
      </c>
      <c r="B11" s="18" t="str">
        <f t="shared" si="0"/>
        <v>x</v>
      </c>
      <c r="C11" s="18" t="str">
        <f t="shared" si="1"/>
        <v>x</v>
      </c>
    </row>
    <row r="12" spans="1:5" x14ac:dyDescent="0.45">
      <c r="A12">
        <v>294</v>
      </c>
      <c r="B12" s="18" t="str">
        <f t="shared" si="0"/>
        <v>x</v>
      </c>
      <c r="C12" s="18" t="str">
        <f t="shared" si="1"/>
        <v>x</v>
      </c>
    </row>
    <row r="14" spans="1:5" x14ac:dyDescent="0.45">
      <c r="A14" s="12" t="s">
        <v>84</v>
      </c>
      <c r="B14" s="12"/>
      <c r="C14" s="12"/>
    </row>
    <row r="15" spans="1:5" x14ac:dyDescent="0.45">
      <c r="A15" s="12" t="s">
        <v>73</v>
      </c>
      <c r="B15" s="12"/>
      <c r="C15" s="12"/>
    </row>
    <row r="16" spans="1:5" x14ac:dyDescent="0.45">
      <c r="A16" s="12" t="s">
        <v>80</v>
      </c>
      <c r="B16" s="12"/>
      <c r="C16" s="12"/>
    </row>
    <row r="17" spans="2:2" x14ac:dyDescent="0.45">
      <c r="B17" t="s">
        <v>116</v>
      </c>
    </row>
    <row r="18" spans="2:2" x14ac:dyDescent="0.45">
      <c r="B18" t="s">
        <v>81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1487-34A5-46C3-957F-E0EFC1BBB347}">
  <dimension ref="A1:C14"/>
  <sheetViews>
    <sheetView showGridLines="0" zoomScale="180" zoomScaleNormal="180" workbookViewId="0">
      <selection activeCell="C16" sqref="C16"/>
    </sheetView>
  </sheetViews>
  <sheetFormatPr defaultColWidth="7.86328125" defaultRowHeight="14.25" x14ac:dyDescent="0.45"/>
  <cols>
    <col min="2" max="2" width="11.6640625" bestFit="1" customWidth="1"/>
    <col min="3" max="3" width="16.3984375" customWidth="1"/>
  </cols>
  <sheetData>
    <row r="1" spans="1:3" x14ac:dyDescent="0.45">
      <c r="B1" s="19" t="s">
        <v>89</v>
      </c>
      <c r="C1" s="19"/>
    </row>
    <row r="2" spans="1:3" x14ac:dyDescent="0.45">
      <c r="B2" s="7" t="s">
        <v>90</v>
      </c>
      <c r="C2" s="7" t="s">
        <v>91</v>
      </c>
    </row>
    <row r="3" spans="1:3" x14ac:dyDescent="0.45">
      <c r="A3" t="s">
        <v>85</v>
      </c>
      <c r="B3" s="16">
        <v>0.45</v>
      </c>
      <c r="C3" s="13" t="str" cm="1">
        <f t="array" ref="C3">_xlfn.IFS(B3&lt;50%,"niet geslaagd",B3&lt;68%,"voldoende",B3&lt;75%,"onderscheiding",B3&gt;=75%,"grote onderscheiding")</f>
        <v>niet geslaagd</v>
      </c>
    </row>
    <row r="4" spans="1:3" x14ac:dyDescent="0.45">
      <c r="A4" t="s">
        <v>86</v>
      </c>
      <c r="B4" s="16">
        <v>0.68</v>
      </c>
      <c r="C4" s="13" t="str" cm="1">
        <f t="array" ref="C4">_xlfn.IFS(B4&lt;50%,"niet geslaagd",B4&lt;68%,"voldoende",B4&lt;75%,"onderscheiding",B4&gt;=75%,"grote onderscheiding")</f>
        <v>onderscheiding</v>
      </c>
    </row>
    <row r="5" spans="1:3" x14ac:dyDescent="0.45">
      <c r="A5" t="s">
        <v>87</v>
      </c>
      <c r="B5" s="16">
        <v>0.75</v>
      </c>
      <c r="C5" s="13" t="str" cm="1">
        <f t="array" ref="C5">_xlfn.IFS(B5&lt;50%,"niet geslaagd",B5&lt;68%,"voldoende",B5&lt;75%,"onderscheiding",B5&gt;=75%,"grote onderscheiding")</f>
        <v>grote onderscheiding</v>
      </c>
    </row>
    <row r="6" spans="1:3" x14ac:dyDescent="0.45">
      <c r="A6" t="s">
        <v>88</v>
      </c>
      <c r="B6" s="16">
        <v>0.59</v>
      </c>
      <c r="C6" s="13" t="str" cm="1">
        <f t="array" ref="C6">_xlfn.IFS(B6&lt;50%,"niet geslaagd",B6&lt;68%,"voldoende",B6&lt;75%,"onderscheiding",B6&gt;=75%,"grote onderscheiding")</f>
        <v>voldoende</v>
      </c>
    </row>
    <row r="9" spans="1:3" x14ac:dyDescent="0.45">
      <c r="A9" s="12" t="s">
        <v>84</v>
      </c>
    </row>
    <row r="10" spans="1:3" x14ac:dyDescent="0.45">
      <c r="A10" s="12" t="s">
        <v>92</v>
      </c>
      <c r="B10" s="12"/>
    </row>
    <row r="11" spans="1:3" x14ac:dyDescent="0.45">
      <c r="A11" s="12"/>
      <c r="B11" s="12" t="s">
        <v>93</v>
      </c>
    </row>
    <row r="12" spans="1:3" x14ac:dyDescent="0.45">
      <c r="A12" s="12"/>
      <c r="B12" s="12" t="s">
        <v>94</v>
      </c>
    </row>
    <row r="13" spans="1:3" x14ac:dyDescent="0.45">
      <c r="A13" s="12"/>
      <c r="B13" s="12" t="s">
        <v>95</v>
      </c>
    </row>
    <row r="14" spans="1:3" x14ac:dyDescent="0.45">
      <c r="A14" s="12"/>
      <c r="B14" s="12" t="s">
        <v>96</v>
      </c>
    </row>
  </sheetData>
  <mergeCells count="1">
    <mergeCell ref="B1:C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B7C0-98B3-4D89-80BE-7B7327975991}">
  <dimension ref="A1:D11"/>
  <sheetViews>
    <sheetView showGridLines="0" zoomScaleNormal="100" workbookViewId="0">
      <selection activeCell="F31" sqref="F31"/>
    </sheetView>
  </sheetViews>
  <sheetFormatPr defaultColWidth="7.6640625" defaultRowHeight="14.25" x14ac:dyDescent="0.45"/>
  <cols>
    <col min="1" max="4" width="7.6640625" customWidth="1"/>
  </cols>
  <sheetData>
    <row r="1" spans="1:4" x14ac:dyDescent="0.45">
      <c r="A1" s="13">
        <v>230</v>
      </c>
      <c r="C1" t="s">
        <v>67</v>
      </c>
      <c r="D1">
        <v>200</v>
      </c>
    </row>
    <row r="2" spans="1:4" x14ac:dyDescent="0.45">
      <c r="A2" s="13">
        <v>265</v>
      </c>
      <c r="C2" t="s">
        <v>66</v>
      </c>
      <c r="D2">
        <v>300</v>
      </c>
    </row>
    <row r="3" spans="1:4" x14ac:dyDescent="0.45">
      <c r="A3" s="13"/>
    </row>
    <row r="4" spans="1:4" x14ac:dyDescent="0.45">
      <c r="A4" s="13">
        <v>280</v>
      </c>
    </row>
    <row r="5" spans="1:4" x14ac:dyDescent="0.45">
      <c r="A5" s="13"/>
    </row>
    <row r="7" spans="1:4" x14ac:dyDescent="0.45">
      <c r="A7" s="12" t="s">
        <v>103</v>
      </c>
    </row>
    <row r="8" spans="1:4" x14ac:dyDescent="0.45">
      <c r="A8" s="12" t="s">
        <v>104</v>
      </c>
    </row>
    <row r="9" spans="1:4" x14ac:dyDescent="0.45">
      <c r="A9" s="12"/>
      <c r="B9" s="12" t="s">
        <v>117</v>
      </c>
    </row>
    <row r="10" spans="1:4" x14ac:dyDescent="0.45">
      <c r="A10" s="12" t="s">
        <v>106</v>
      </c>
    </row>
    <row r="11" spans="1:4" x14ac:dyDescent="0.45">
      <c r="A11" s="12" t="s">
        <v>105</v>
      </c>
    </row>
  </sheetData>
  <dataValidations count="1">
    <dataValidation type="whole" allowBlank="1" showInputMessage="1" showErrorMessage="1" errorTitle="FOut" error="FOut" sqref="A1:A5" xr:uid="{69F502DE-29B9-4958-9F25-271F21115403}">
      <formula1>$D$1</formula1>
      <formula2>$D$2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0727-56E8-44C8-AF3A-A3B129EEFFCA}">
  <dimension ref="A1:D6"/>
  <sheetViews>
    <sheetView showGridLines="0" zoomScaleNormal="100" workbookViewId="0"/>
  </sheetViews>
  <sheetFormatPr defaultColWidth="7.86328125" defaultRowHeight="14.25" x14ac:dyDescent="0.45"/>
  <sheetData>
    <row r="1" spans="1:4" x14ac:dyDescent="0.45">
      <c r="A1" s="13"/>
      <c r="C1" t="s">
        <v>97</v>
      </c>
      <c r="D1" t="s">
        <v>98</v>
      </c>
    </row>
    <row r="2" spans="1:4" x14ac:dyDescent="0.45">
      <c r="C2" t="s">
        <v>99</v>
      </c>
      <c r="D2" t="s">
        <v>100</v>
      </c>
    </row>
    <row r="3" spans="1:4" x14ac:dyDescent="0.45">
      <c r="C3" t="s">
        <v>101</v>
      </c>
      <c r="D3" t="s">
        <v>102</v>
      </c>
    </row>
    <row r="5" spans="1:4" x14ac:dyDescent="0.45">
      <c r="A5" s="12" t="s">
        <v>107</v>
      </c>
    </row>
    <row r="6" spans="1:4" x14ac:dyDescent="0.45">
      <c r="A6" s="12" t="s">
        <v>108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FD3C-B1F8-46ED-BA99-40A7DA745A78}">
  <dimension ref="A1:F11"/>
  <sheetViews>
    <sheetView showGridLines="0" zoomScale="200" zoomScaleNormal="200" workbookViewId="0">
      <selection activeCell="C19" sqref="C19"/>
    </sheetView>
  </sheetViews>
  <sheetFormatPr defaultColWidth="9.1328125" defaultRowHeight="14.25" x14ac:dyDescent="0.45"/>
  <cols>
    <col min="1" max="1" width="12.3984375" style="3" bestFit="1" customWidth="1"/>
    <col min="2" max="2" width="11.6640625" style="3" bestFit="1" customWidth="1"/>
    <col min="3" max="5" width="9.1328125" style="3" customWidth="1"/>
    <col min="6" max="6" width="10.3984375" style="3" bestFit="1" customWidth="1"/>
    <col min="7" max="16384" width="9.1328125" style="3"/>
  </cols>
  <sheetData>
    <row r="1" spans="1:6" x14ac:dyDescent="0.45">
      <c r="A1" s="5" t="s">
        <v>48</v>
      </c>
      <c r="B1" s="5" t="s">
        <v>47</v>
      </c>
      <c r="D1" s="3" t="s">
        <v>46</v>
      </c>
      <c r="F1" s="3" t="s">
        <v>38</v>
      </c>
    </row>
    <row r="2" spans="1:6" x14ac:dyDescent="0.45">
      <c r="A2" s="3">
        <v>2480</v>
      </c>
      <c r="B2" s="3">
        <v>174</v>
      </c>
      <c r="D2" s="3" t="s">
        <v>45</v>
      </c>
      <c r="F2" s="15">
        <f>SUMIF(A2:A7,D2,B2:B7)</f>
        <v>1041</v>
      </c>
    </row>
    <row r="3" spans="1:6" x14ac:dyDescent="0.45">
      <c r="A3" s="3">
        <v>4960</v>
      </c>
      <c r="B3" s="3">
        <v>347</v>
      </c>
    </row>
    <row r="4" spans="1:6" x14ac:dyDescent="0.45">
      <c r="A4" s="3">
        <v>3150</v>
      </c>
      <c r="B4" s="3">
        <v>215</v>
      </c>
    </row>
    <row r="5" spans="1:6" x14ac:dyDescent="0.45">
      <c r="A5" s="3">
        <v>9620</v>
      </c>
      <c r="B5" s="3">
        <v>694</v>
      </c>
    </row>
    <row r="6" spans="1:6" x14ac:dyDescent="0.45">
      <c r="A6" s="3">
        <v>1980</v>
      </c>
      <c r="B6" s="3">
        <v>139</v>
      </c>
    </row>
    <row r="7" spans="1:6" x14ac:dyDescent="0.45">
      <c r="A7" s="3">
        <v>2970</v>
      </c>
      <c r="B7" s="3">
        <v>208</v>
      </c>
    </row>
    <row r="10" spans="1:6" x14ac:dyDescent="0.45">
      <c r="A10" s="12" t="s">
        <v>113</v>
      </c>
    </row>
    <row r="11" spans="1:6" x14ac:dyDescent="0.45">
      <c r="A11" s="12" t="s">
        <v>114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&amp;C© Eddy Van den Broeck en Erik Cuypers - Uitgeverij VAN IN - De Boeck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6108-8F3A-4039-A105-8B2B50DE1FDF}">
  <dimension ref="A1:I6"/>
  <sheetViews>
    <sheetView showGridLines="0" zoomScaleNormal="100" workbookViewId="0">
      <selection activeCell="F21" sqref="F21"/>
    </sheetView>
  </sheetViews>
  <sheetFormatPr defaultRowHeight="14.25" x14ac:dyDescent="0.45"/>
  <cols>
    <col min="1" max="1" width="19.86328125" bestFit="1" customWidth="1"/>
    <col min="2" max="10" width="6.1328125" customWidth="1"/>
  </cols>
  <sheetData>
    <row r="1" spans="1:9" x14ac:dyDescent="0.45">
      <c r="A1" t="s">
        <v>51</v>
      </c>
      <c r="B1">
        <v>4820</v>
      </c>
      <c r="C1">
        <v>3460</v>
      </c>
      <c r="D1">
        <v>2430</v>
      </c>
      <c r="E1">
        <v>6750</v>
      </c>
      <c r="F1">
        <v>4365</v>
      </c>
      <c r="G1">
        <v>5178</v>
      </c>
      <c r="H1">
        <v>7156</v>
      </c>
      <c r="I1">
        <v>3960</v>
      </c>
    </row>
    <row r="2" spans="1:9" x14ac:dyDescent="0.45">
      <c r="A2" t="s">
        <v>50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 x14ac:dyDescent="0.45">
      <c r="A3" t="s">
        <v>49</v>
      </c>
      <c r="B3" s="13">
        <f>LARGE($B$1:$I$1,B2)</f>
        <v>7156</v>
      </c>
      <c r="C3" s="13">
        <f t="shared" ref="C3:I3" si="0">LARGE($B$1:$I$1,C2)</f>
        <v>6750</v>
      </c>
      <c r="D3" s="13">
        <f t="shared" si="0"/>
        <v>5178</v>
      </c>
      <c r="E3" s="13">
        <f t="shared" si="0"/>
        <v>4820</v>
      </c>
      <c r="F3" s="13">
        <f t="shared" si="0"/>
        <v>4365</v>
      </c>
      <c r="G3" s="13">
        <f t="shared" si="0"/>
        <v>3960</v>
      </c>
      <c r="H3" s="13">
        <f t="shared" si="0"/>
        <v>3460</v>
      </c>
      <c r="I3" s="13">
        <f t="shared" si="0"/>
        <v>2430</v>
      </c>
    </row>
    <row r="5" spans="1:9" x14ac:dyDescent="0.45">
      <c r="A5" s="12" t="s">
        <v>68</v>
      </c>
    </row>
    <row r="6" spans="1:9" x14ac:dyDescent="0.45">
      <c r="A6" s="12" t="s">
        <v>74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15EB-5725-40CA-81B6-B0FC6C794710}">
  <dimension ref="A1:I6"/>
  <sheetViews>
    <sheetView showGridLines="0" zoomScaleNormal="100" workbookViewId="0">
      <selection activeCell="B3" sqref="B3"/>
    </sheetView>
  </sheetViews>
  <sheetFormatPr defaultRowHeight="14.25" x14ac:dyDescent="0.45"/>
  <cols>
    <col min="1" max="1" width="19.86328125" bestFit="1" customWidth="1"/>
    <col min="2" max="10" width="6.1328125" customWidth="1"/>
  </cols>
  <sheetData>
    <row r="1" spans="1:9" x14ac:dyDescent="0.45">
      <c r="A1" t="s">
        <v>51</v>
      </c>
      <c r="B1">
        <v>4820</v>
      </c>
      <c r="C1">
        <v>3460</v>
      </c>
      <c r="D1">
        <v>2430</v>
      </c>
      <c r="E1">
        <v>6750</v>
      </c>
      <c r="F1">
        <v>4365</v>
      </c>
      <c r="G1">
        <v>5178</v>
      </c>
      <c r="H1">
        <v>7156</v>
      </c>
      <c r="I1">
        <v>3960</v>
      </c>
    </row>
    <row r="2" spans="1:9" x14ac:dyDescent="0.45">
      <c r="A2" t="s">
        <v>50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 x14ac:dyDescent="0.45">
      <c r="A3" t="s">
        <v>49</v>
      </c>
      <c r="B3" s="13"/>
      <c r="C3" s="13"/>
      <c r="D3" s="13"/>
      <c r="E3" s="13"/>
      <c r="F3" s="13"/>
      <c r="G3" s="13"/>
      <c r="H3" s="13"/>
      <c r="I3" s="13"/>
    </row>
    <row r="5" spans="1:9" x14ac:dyDescent="0.45">
      <c r="A5" s="12" t="s">
        <v>68</v>
      </c>
    </row>
    <row r="6" spans="1:9" x14ac:dyDescent="0.45">
      <c r="A6" s="12" t="s">
        <v>74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994E-9172-453C-A4A8-22D0A561EC3F}">
  <dimension ref="A1:K6"/>
  <sheetViews>
    <sheetView showGridLines="0" zoomScaleNormal="100" workbookViewId="0">
      <selection activeCell="K2" sqref="K2"/>
    </sheetView>
  </sheetViews>
  <sheetFormatPr defaultRowHeight="14.25" x14ac:dyDescent="0.45"/>
  <cols>
    <col min="1" max="1" width="8" bestFit="1" customWidth="1"/>
    <col min="2" max="12" width="5.86328125" customWidth="1"/>
  </cols>
  <sheetData>
    <row r="1" spans="1:11" x14ac:dyDescent="0.45">
      <c r="A1" t="s">
        <v>59</v>
      </c>
      <c r="B1" s="7" t="s">
        <v>58</v>
      </c>
      <c r="C1" s="7" t="s">
        <v>52</v>
      </c>
      <c r="D1" s="7" t="s">
        <v>57</v>
      </c>
      <c r="E1" s="7" t="s">
        <v>56</v>
      </c>
      <c r="F1" s="7" t="s">
        <v>55</v>
      </c>
      <c r="G1" s="7" t="s">
        <v>54</v>
      </c>
      <c r="J1" s="7" t="s">
        <v>75</v>
      </c>
    </row>
    <row r="2" spans="1:11" x14ac:dyDescent="0.45">
      <c r="A2" t="s">
        <v>53</v>
      </c>
      <c r="B2" s="6">
        <v>0.06</v>
      </c>
      <c r="C2" s="6">
        <v>0.08</v>
      </c>
      <c r="D2" s="6">
        <v>0.1</v>
      </c>
      <c r="E2" s="6">
        <v>0.12</v>
      </c>
      <c r="F2" s="6">
        <v>0.14000000000000001</v>
      </c>
      <c r="G2" s="6">
        <v>0.16</v>
      </c>
      <c r="J2" t="s">
        <v>52</v>
      </c>
      <c r="K2" s="13"/>
    </row>
    <row r="5" spans="1:11" x14ac:dyDescent="0.45">
      <c r="A5" s="12" t="s">
        <v>69</v>
      </c>
    </row>
    <row r="6" spans="1:11" x14ac:dyDescent="0.45">
      <c r="A6" s="12" t="s">
        <v>76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2557-B533-4B2C-A35F-5A3B31A042F7}">
  <dimension ref="A1:J7"/>
  <sheetViews>
    <sheetView showGridLines="0" zoomScaleNormal="100" workbookViewId="0">
      <selection activeCell="G31" sqref="G31"/>
    </sheetView>
  </sheetViews>
  <sheetFormatPr defaultColWidth="9.1328125" defaultRowHeight="14.25" x14ac:dyDescent="0.45"/>
  <cols>
    <col min="1" max="16384" width="9.1328125" style="2"/>
  </cols>
  <sheetData>
    <row r="1" spans="1:10" x14ac:dyDescent="0.45">
      <c r="A1" s="2" t="s">
        <v>37</v>
      </c>
      <c r="B1" s="2" t="s">
        <v>31</v>
      </c>
      <c r="C1" s="2" t="s">
        <v>31</v>
      </c>
      <c r="D1" s="2" t="s">
        <v>36</v>
      </c>
      <c r="F1" s="2" t="s">
        <v>31</v>
      </c>
    </row>
    <row r="2" spans="1:10" x14ac:dyDescent="0.45">
      <c r="A2" s="2" t="s">
        <v>34</v>
      </c>
      <c r="B2" s="2" t="s">
        <v>35</v>
      </c>
      <c r="C2" s="2" t="s">
        <v>34</v>
      </c>
      <c r="D2" s="2" t="s">
        <v>31</v>
      </c>
      <c r="F2" s="14">
        <f>COUNTIF(A1:D3,F1)</f>
        <v>4</v>
      </c>
      <c r="G2" s="2" t="s">
        <v>77</v>
      </c>
    </row>
    <row r="3" spans="1:10" x14ac:dyDescent="0.45">
      <c r="A3" s="2" t="s">
        <v>33</v>
      </c>
      <c r="B3" s="2" t="s">
        <v>32</v>
      </c>
      <c r="C3" s="2" t="s">
        <v>31</v>
      </c>
      <c r="D3" s="2" t="s">
        <v>30</v>
      </c>
    </row>
    <row r="4" spans="1:10" x14ac:dyDescent="0.45">
      <c r="F4" s="14" t="str">
        <f>"Het aantal keer dat de naam " &amp; F1 &amp; " voorkomt is " &amp; F2</f>
        <v>Het aantal keer dat de naam Kristien voorkomt is 4</v>
      </c>
      <c r="G4" s="14"/>
      <c r="H4" s="14"/>
      <c r="I4" s="14"/>
      <c r="J4" s="14"/>
    </row>
    <row r="5" spans="1:10" x14ac:dyDescent="0.45">
      <c r="A5" s="12" t="s">
        <v>70</v>
      </c>
    </row>
    <row r="6" spans="1:10" x14ac:dyDescent="0.45">
      <c r="A6" s="12" t="s">
        <v>122</v>
      </c>
    </row>
    <row r="7" spans="1:10" x14ac:dyDescent="0.45">
      <c r="A7" s="12" t="s">
        <v>121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&amp;C© Eddy Van den Broeck en Erik Cuypers - Uitgeverij VAN IN - De Boeck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A12D-2101-403D-AFAE-535A70D99698}">
  <dimension ref="A1:I11"/>
  <sheetViews>
    <sheetView showGridLines="0" tabSelected="1" zoomScaleNormal="100" workbookViewId="0">
      <selection activeCell="N30" sqref="N30"/>
    </sheetView>
  </sheetViews>
  <sheetFormatPr defaultColWidth="9.1328125" defaultRowHeight="14.25" x14ac:dyDescent="0.45"/>
  <cols>
    <col min="1" max="1" width="21.33203125" style="3" customWidth="1"/>
    <col min="2" max="9" width="6.6640625" style="3" customWidth="1"/>
    <col min="10" max="16384" width="9.1328125" style="3"/>
  </cols>
  <sheetData>
    <row r="1" spans="1:9" x14ac:dyDescent="0.45">
      <c r="A1" s="4" t="s">
        <v>43</v>
      </c>
      <c r="B1" s="4" t="s">
        <v>42</v>
      </c>
      <c r="C1" s="4" t="s">
        <v>39</v>
      </c>
      <c r="D1" s="4" t="s">
        <v>42</v>
      </c>
      <c r="E1" s="4" t="s">
        <v>42</v>
      </c>
      <c r="F1" s="4" t="s">
        <v>39</v>
      </c>
      <c r="G1" s="4" t="s">
        <v>42</v>
      </c>
      <c r="H1" s="4" t="s">
        <v>39</v>
      </c>
      <c r="I1" s="4" t="s">
        <v>42</v>
      </c>
    </row>
    <row r="2" spans="1:9" x14ac:dyDescent="0.45">
      <c r="A2" s="4" t="s">
        <v>41</v>
      </c>
      <c r="B2" s="4">
        <v>182</v>
      </c>
      <c r="C2" s="4">
        <v>173</v>
      </c>
      <c r="D2" s="4">
        <v>183</v>
      </c>
      <c r="E2" s="4">
        <v>191</v>
      </c>
      <c r="F2" s="4">
        <v>187</v>
      </c>
      <c r="G2" s="4">
        <v>172</v>
      </c>
      <c r="H2" s="4">
        <v>176</v>
      </c>
      <c r="I2" s="4">
        <v>178</v>
      </c>
    </row>
    <row r="4" spans="1:9" x14ac:dyDescent="0.45">
      <c r="A4" s="3" t="s">
        <v>40</v>
      </c>
      <c r="B4" s="3" t="s">
        <v>39</v>
      </c>
    </row>
    <row r="5" spans="1:9" x14ac:dyDescent="0.45">
      <c r="A5" s="3" t="s">
        <v>78</v>
      </c>
      <c r="B5" s="15">
        <f>AVERAGEIF(B1:I1,B4,B2:I2)</f>
        <v>178.66666666666666</v>
      </c>
    </row>
    <row r="9" spans="1:9" x14ac:dyDescent="0.45">
      <c r="A9" s="12" t="s">
        <v>71</v>
      </c>
    </row>
    <row r="10" spans="1:9" x14ac:dyDescent="0.45">
      <c r="A10" s="12" t="s">
        <v>79</v>
      </c>
    </row>
    <row r="11" spans="1:9" x14ac:dyDescent="0.45">
      <c r="A11" s="12"/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&amp;C© Eddy Van den Broeck en Erik Cuypers - Uitgeverij VAN IN - De Boeck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25FD-D997-4C13-BEA5-0A40562A8B64}">
  <dimension ref="A1:I9"/>
  <sheetViews>
    <sheetView showGridLines="0" zoomScaleNormal="100" workbookViewId="0">
      <selection activeCell="N48" sqref="N48"/>
    </sheetView>
  </sheetViews>
  <sheetFormatPr defaultColWidth="9.1328125" defaultRowHeight="14.25" x14ac:dyDescent="0.45"/>
  <cols>
    <col min="1" max="1" width="21.33203125" style="3" customWidth="1"/>
    <col min="2" max="9" width="6.6640625" style="3" customWidth="1"/>
    <col min="10" max="16384" width="9.1328125" style="3"/>
  </cols>
  <sheetData>
    <row r="1" spans="1:9" x14ac:dyDescent="0.45">
      <c r="A1" s="4" t="s">
        <v>43</v>
      </c>
      <c r="B1" s="4" t="s">
        <v>42</v>
      </c>
      <c r="C1" s="4" t="s">
        <v>39</v>
      </c>
      <c r="D1" s="4" t="s">
        <v>42</v>
      </c>
      <c r="E1" s="4" t="s">
        <v>42</v>
      </c>
      <c r="F1" s="4" t="s">
        <v>39</v>
      </c>
      <c r="G1" s="4" t="s">
        <v>42</v>
      </c>
      <c r="H1" s="4" t="s">
        <v>39</v>
      </c>
      <c r="I1" s="4" t="s">
        <v>42</v>
      </c>
    </row>
    <row r="2" spans="1:9" x14ac:dyDescent="0.45">
      <c r="A2" s="4" t="s">
        <v>41</v>
      </c>
      <c r="B2" s="4">
        <v>182</v>
      </c>
      <c r="C2" s="4">
        <v>173</v>
      </c>
      <c r="D2" s="4">
        <v>183</v>
      </c>
      <c r="E2" s="4">
        <v>191</v>
      </c>
      <c r="F2" s="4">
        <v>187</v>
      </c>
      <c r="G2" s="4">
        <v>172</v>
      </c>
      <c r="H2" s="4">
        <v>176</v>
      </c>
      <c r="I2" s="4">
        <v>178</v>
      </c>
    </row>
    <row r="4" spans="1:9" x14ac:dyDescent="0.45">
      <c r="A4" s="3" t="s">
        <v>40</v>
      </c>
      <c r="B4" s="3" t="s">
        <v>44</v>
      </c>
    </row>
    <row r="5" spans="1:9" x14ac:dyDescent="0.45">
      <c r="A5" s="3" t="s">
        <v>38</v>
      </c>
      <c r="B5" s="15"/>
    </row>
    <row r="8" spans="1:9" x14ac:dyDescent="0.45">
      <c r="A8" s="12" t="s">
        <v>71</v>
      </c>
    </row>
    <row r="9" spans="1:9" x14ac:dyDescent="0.45">
      <c r="A9" s="12" t="s">
        <v>79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&amp;C© Eddy Van den Broeck en Erik Cuypers - Uitgeverij VAN IN - De Boeck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00D4-31FD-4779-9DF9-2A5478561E3F}">
  <dimension ref="A1:D9"/>
  <sheetViews>
    <sheetView showGridLines="0" zoomScaleNormal="100" workbookViewId="0">
      <selection activeCell="B6" sqref="B6"/>
    </sheetView>
  </sheetViews>
  <sheetFormatPr defaultColWidth="9.1328125" defaultRowHeight="14.25" x14ac:dyDescent="0.45"/>
  <cols>
    <col min="1" max="1" width="26.6640625" style="2" customWidth="1"/>
    <col min="2" max="4" width="10.86328125" style="2" customWidth="1"/>
    <col min="5" max="16384" width="9.1328125" style="2"/>
  </cols>
  <sheetData>
    <row r="1" spans="1:4" x14ac:dyDescent="0.45">
      <c r="A1" s="2" t="s">
        <v>62</v>
      </c>
      <c r="B1" s="10">
        <v>300000</v>
      </c>
    </row>
    <row r="2" spans="1:4" x14ac:dyDescent="0.45">
      <c r="A2" s="2" t="s">
        <v>61</v>
      </c>
      <c r="B2" s="9">
        <v>0.02</v>
      </c>
    </row>
    <row r="3" spans="1:4" x14ac:dyDescent="0.45">
      <c r="A3" s="2" t="s">
        <v>64</v>
      </c>
      <c r="B3" s="2">
        <v>20</v>
      </c>
    </row>
    <row r="5" spans="1:4" x14ac:dyDescent="0.45">
      <c r="A5" s="2" t="s">
        <v>60</v>
      </c>
      <c r="D5" s="8"/>
    </row>
    <row r="6" spans="1:4" x14ac:dyDescent="0.45">
      <c r="B6" s="17"/>
    </row>
    <row r="8" spans="1:4" x14ac:dyDescent="0.45">
      <c r="A8" s="12" t="s">
        <v>72</v>
      </c>
    </row>
    <row r="9" spans="1:4" x14ac:dyDescent="0.45">
      <c r="A9" s="12" t="s">
        <v>123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&amp;C© Eddy Van den Broeck en Erik Cuypers - Uitgeverij VAN IN - De Boeck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4B74-EAD3-4729-B55A-18CAC6C04A02}">
  <dimension ref="A1:D9"/>
  <sheetViews>
    <sheetView showGridLines="0" zoomScaleNormal="100" workbookViewId="0">
      <selection activeCell="B6" sqref="B6"/>
    </sheetView>
  </sheetViews>
  <sheetFormatPr defaultColWidth="9.1328125" defaultRowHeight="14.25" x14ac:dyDescent="0.45"/>
  <cols>
    <col min="1" max="1" width="26.6640625" style="2" customWidth="1"/>
    <col min="2" max="4" width="10.86328125" style="2" customWidth="1"/>
    <col min="5" max="16384" width="9.1328125" style="2"/>
  </cols>
  <sheetData>
    <row r="1" spans="1:4" x14ac:dyDescent="0.45">
      <c r="A1" s="2" t="s">
        <v>65</v>
      </c>
      <c r="B1" s="10">
        <v>20000</v>
      </c>
    </row>
    <row r="2" spans="1:4" x14ac:dyDescent="0.45">
      <c r="A2" s="2" t="s">
        <v>61</v>
      </c>
      <c r="B2" s="9">
        <v>1.95E-2</v>
      </c>
    </row>
    <row r="3" spans="1:4" x14ac:dyDescent="0.45">
      <c r="A3" s="2" t="s">
        <v>64</v>
      </c>
      <c r="B3" s="2">
        <v>20</v>
      </c>
    </row>
    <row r="5" spans="1:4" x14ac:dyDescent="0.45">
      <c r="A5" s="2" t="s">
        <v>63</v>
      </c>
      <c r="D5" s="8"/>
    </row>
    <row r="6" spans="1:4" x14ac:dyDescent="0.45">
      <c r="B6" s="17"/>
    </row>
    <row r="7" spans="1:4" x14ac:dyDescent="0.45">
      <c r="D7" s="11"/>
    </row>
    <row r="8" spans="1:4" x14ac:dyDescent="0.45">
      <c r="A8" s="12" t="s">
        <v>72</v>
      </c>
    </row>
    <row r="9" spans="1:4" x14ac:dyDescent="0.45">
      <c r="A9" s="12" t="s">
        <v>115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&amp;C© Eddy Van den Broeck en Erik Cuypers - Uitgeverij VAN IN - De Boeck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D651-5024-4C88-B751-34C0A04D264E}">
  <dimension ref="A1:F19"/>
  <sheetViews>
    <sheetView showGridLines="0" zoomScaleNormal="100" workbookViewId="0">
      <selection activeCell="D3" sqref="D3"/>
    </sheetView>
  </sheetViews>
  <sheetFormatPr defaultColWidth="9.1328125" defaultRowHeight="14.25" x14ac:dyDescent="0.45"/>
  <cols>
    <col min="1" max="1" width="15.9296875" bestFit="1" customWidth="1"/>
    <col min="2" max="2" width="11.1328125" bestFit="1" customWidth="1"/>
    <col min="3" max="3" width="8" bestFit="1" customWidth="1"/>
    <col min="4" max="4" width="7" bestFit="1" customWidth="1"/>
    <col min="5" max="5" width="20.73046875" bestFit="1" customWidth="1"/>
    <col min="6" max="6" width="16.1328125" bestFit="1" customWidth="1"/>
  </cols>
  <sheetData>
    <row r="1" spans="1:6" x14ac:dyDescent="0.45">
      <c r="A1" s="1" t="s">
        <v>29</v>
      </c>
      <c r="B1" s="1" t="s">
        <v>28</v>
      </c>
      <c r="C1" s="1" t="s">
        <v>27</v>
      </c>
      <c r="D1" s="1" t="s">
        <v>26</v>
      </c>
      <c r="E1" s="1" t="s">
        <v>25</v>
      </c>
      <c r="F1" s="1" t="s">
        <v>24</v>
      </c>
    </row>
    <row r="2" spans="1:6" x14ac:dyDescent="0.45">
      <c r="A2" t="s">
        <v>23</v>
      </c>
      <c r="B2" t="s">
        <v>22</v>
      </c>
      <c r="C2" t="s">
        <v>0</v>
      </c>
      <c r="D2" t="s">
        <v>109</v>
      </c>
      <c r="E2" t="s">
        <v>110</v>
      </c>
      <c r="F2" t="s">
        <v>111</v>
      </c>
    </row>
    <row r="3" spans="1:6" x14ac:dyDescent="0.45">
      <c r="A3" t="s">
        <v>21</v>
      </c>
      <c r="B3" t="s">
        <v>20</v>
      </c>
      <c r="C3" t="s">
        <v>2</v>
      </c>
      <c r="D3" s="13"/>
      <c r="E3" s="13"/>
      <c r="F3" s="13"/>
    </row>
    <row r="4" spans="1:6" x14ac:dyDescent="0.45">
      <c r="A4" t="s">
        <v>19</v>
      </c>
      <c r="B4" t="s">
        <v>18</v>
      </c>
      <c r="C4" t="s">
        <v>0</v>
      </c>
      <c r="D4" s="13"/>
      <c r="E4" s="13"/>
      <c r="F4" s="13"/>
    </row>
    <row r="5" spans="1:6" x14ac:dyDescent="0.45">
      <c r="A5" t="s">
        <v>17</v>
      </c>
      <c r="B5" t="s">
        <v>16</v>
      </c>
      <c r="C5" t="s">
        <v>0</v>
      </c>
      <c r="D5" s="13"/>
      <c r="E5" s="13"/>
      <c r="F5" s="13"/>
    </row>
    <row r="6" spans="1:6" x14ac:dyDescent="0.45">
      <c r="A6" t="s">
        <v>15</v>
      </c>
      <c r="B6" t="s">
        <v>14</v>
      </c>
      <c r="C6" t="s">
        <v>2</v>
      </c>
      <c r="D6" s="13"/>
      <c r="E6" s="13"/>
      <c r="F6" s="13"/>
    </row>
    <row r="7" spans="1:6" x14ac:dyDescent="0.45">
      <c r="A7" t="s">
        <v>13</v>
      </c>
      <c r="B7" t="s">
        <v>12</v>
      </c>
      <c r="C7" t="s">
        <v>0</v>
      </c>
      <c r="D7" s="13"/>
      <c r="E7" s="13"/>
      <c r="F7" s="13"/>
    </row>
    <row r="8" spans="1:6" x14ac:dyDescent="0.45">
      <c r="A8" t="s">
        <v>11</v>
      </c>
      <c r="B8" t="s">
        <v>10</v>
      </c>
      <c r="C8" t="s">
        <v>2</v>
      </c>
      <c r="D8" s="13"/>
      <c r="E8" s="13"/>
      <c r="F8" s="13"/>
    </row>
    <row r="9" spans="1:6" x14ac:dyDescent="0.45">
      <c r="A9" t="s">
        <v>9</v>
      </c>
      <c r="B9" t="s">
        <v>8</v>
      </c>
      <c r="C9" t="s">
        <v>0</v>
      </c>
      <c r="D9" s="13"/>
      <c r="E9" s="13"/>
      <c r="F9" s="13"/>
    </row>
    <row r="10" spans="1:6" x14ac:dyDescent="0.45">
      <c r="A10" t="s">
        <v>7</v>
      </c>
      <c r="B10" t="s">
        <v>6</v>
      </c>
      <c r="C10" t="s">
        <v>2</v>
      </c>
      <c r="D10" s="13"/>
      <c r="E10" s="13"/>
      <c r="F10" s="13"/>
    </row>
    <row r="11" spans="1:6" x14ac:dyDescent="0.45">
      <c r="A11" t="s">
        <v>5</v>
      </c>
      <c r="B11" t="s">
        <v>4</v>
      </c>
      <c r="C11" t="s">
        <v>2</v>
      </c>
      <c r="D11" s="13"/>
      <c r="E11" s="13"/>
      <c r="F11" s="13"/>
    </row>
    <row r="13" spans="1:6" x14ac:dyDescent="0.45">
      <c r="B13" t="s">
        <v>3</v>
      </c>
      <c r="C13" t="s">
        <v>2</v>
      </c>
    </row>
    <row r="14" spans="1:6" x14ac:dyDescent="0.45">
      <c r="B14" t="s">
        <v>1</v>
      </c>
      <c r="C14" t="s">
        <v>0</v>
      </c>
    </row>
    <row r="16" spans="1:6" x14ac:dyDescent="0.45">
      <c r="A16" s="12" t="s">
        <v>119</v>
      </c>
    </row>
    <row r="17" spans="1:1" x14ac:dyDescent="0.45">
      <c r="A17" s="12" t="s">
        <v>112</v>
      </c>
    </row>
    <row r="18" spans="1:1" x14ac:dyDescent="0.45">
      <c r="A18" s="12" t="s">
        <v>118</v>
      </c>
    </row>
    <row r="19" spans="1:1" x14ac:dyDescent="0.45">
      <c r="A19" s="12" t="s">
        <v>120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&amp;C© Eddy Van den Broeck en Erik Cuypers - Uitgeverij VAN IN - De Boeck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7" ma:contentTypeDescription="Een nieuw document maken." ma:contentTypeScope="" ma:versionID="31b0ea5f246b6c01233a8b66792010ad">
  <xsd:schema xmlns:xsd="http://www.w3.org/2001/XMLSchema" xmlns:xs="http://www.w3.org/2001/XMLSchema" xmlns:p="http://schemas.microsoft.com/office/2006/metadata/properties" xmlns:ns2="1f719afa-2edd-4b23-b78f-b0f2d490afc5" targetNamespace="http://schemas.microsoft.com/office/2006/metadata/properties" ma:root="true" ma:fieldsID="be4d4ee10dfb5e8c551f511c41df34a9" ns2:_="">
    <xsd:import namespace="1f719afa-2edd-4b23-b78f-b0f2d490a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891201-612B-47A0-AFF1-288B6699B6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5BE239-EBAC-404F-A432-383FB85192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30AD06-9641-422D-BE0A-71B5004DD5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19afa-2edd-4b23-b78f-b0f2d490a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Als1</vt:lpstr>
      <vt:lpstr>Als2</vt:lpstr>
      <vt:lpstr>Validatie 1</vt:lpstr>
      <vt:lpstr>Validatie 2</vt:lpstr>
      <vt:lpstr>SOM.ALS</vt:lpstr>
      <vt:lpstr>GROOTSTE</vt:lpstr>
      <vt:lpstr>KLEINSTE</vt:lpstr>
      <vt:lpstr>HORIZZOEKEN</vt:lpstr>
      <vt:lpstr>AANTAL.ALS</vt:lpstr>
      <vt:lpstr>GEMIDDELDE.ALS1</vt:lpstr>
      <vt:lpstr>GEMIDDELDE.ALS2</vt:lpstr>
      <vt:lpstr>BET1</vt:lpstr>
      <vt:lpstr>BET2</vt:lpstr>
      <vt:lpstr>Tekstfuncties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Van den Putte</dc:creator>
  <cp:lastModifiedBy>Lars Raeymaekers</cp:lastModifiedBy>
  <dcterms:created xsi:type="dcterms:W3CDTF">2019-11-11T09:20:08Z</dcterms:created>
  <dcterms:modified xsi:type="dcterms:W3CDTF">2026-10-05T12:17:49Z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  <property fmtid="{D5CDD505-2E9C-101B-9397-08002B2CF9AE}" pid="3" name="MSIP_Label_c337be75-dfbb-4261-9834-ac247c7dde13_Enabled">
    <vt:lpwstr>true</vt:lpwstr>
  </property>
  <property fmtid="{D5CDD505-2E9C-101B-9397-08002B2CF9AE}" pid="4" name="MSIP_Label_c337be75-dfbb-4261-9834-ac247c7dde13_SetDate">
    <vt:lpwstr>2026-10-05T11:47:41Z</vt:lpwstr>
  </property>
  <property fmtid="{D5CDD505-2E9C-101B-9397-08002B2CF9AE}" pid="5" name="MSIP_Label_c337be75-dfbb-4261-9834-ac247c7dde13_Method">
    <vt:lpwstr>Standard</vt:lpwstr>
  </property>
  <property fmtid="{D5CDD505-2E9C-101B-9397-08002B2CF9AE}" pid="6" name="MSIP_Label_c337be75-dfbb-4261-9834-ac247c7dde13_Name">
    <vt:lpwstr>Algemeen</vt:lpwstr>
  </property>
  <property fmtid="{D5CDD505-2E9C-101B-9397-08002B2CF9AE}" pid="7" name="MSIP_Label_c337be75-dfbb-4261-9834-ac247c7dde13_SiteId">
    <vt:lpwstr>77d33cc5-c9b4-4766-95c7-ed5b515e1cce</vt:lpwstr>
  </property>
  <property fmtid="{D5CDD505-2E9C-101B-9397-08002B2CF9AE}" pid="8" name="MSIP_Label_c337be75-dfbb-4261-9834-ac247c7dde13_ActionId">
    <vt:lpwstr>3e7cff41-b35a-4e15-b821-57976f97d105</vt:lpwstr>
  </property>
  <property fmtid="{D5CDD505-2E9C-101B-9397-08002B2CF9AE}" pid="9" name="MSIP_Label_c337be75-dfbb-4261-9834-ac247c7dde13_ContentBits">
    <vt:lpwstr>0</vt:lpwstr>
  </property>
  <property fmtid="{D5CDD505-2E9C-101B-9397-08002B2CF9AE}" pid="10" name="MSIP_Label_c337be75-dfbb-4261-9834-ac247c7dde13_Tag">
    <vt:lpwstr>10, 3, 0, 1</vt:lpwstr>
  </property>
</Properties>
</file>